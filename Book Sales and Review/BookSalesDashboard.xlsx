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Jithinlal\Downloads\"/>
    </mc:Choice>
  </mc:AlternateContent>
  <xr:revisionPtr revIDLastSave="0" documentId="8_{8A374939-932B-4104-B760-FF3CB1474653}" xr6:coauthVersionLast="47" xr6:coauthVersionMax="47" xr10:uidLastSave="{00000000-0000-0000-0000-000000000000}"/>
  <bookViews>
    <workbookView xWindow="-108" yWindow="-108" windowWidth="23256" windowHeight="13176" activeTab="2" xr2:uid="{37F8A0D7-4852-44B9-82A6-86B23DA64283}"/>
  </bookViews>
  <sheets>
    <sheet name="Calculations" sheetId="5" r:id="rId1"/>
    <sheet name="SalesData" sheetId="1" r:id="rId2"/>
    <sheet name="Dashboard" sheetId="2" r:id="rId3"/>
    <sheet name="Sheet3" sheetId="3" r:id="rId4"/>
    <sheet name="Sheet4" sheetId="4" r:id="rId5"/>
  </sheets>
  <definedNames>
    <definedName name="ExternalData_1" localSheetId="1" hidden="1">SalesData!$A$1:$N$1071</definedName>
    <definedName name="Slicer_Author_Rating">#N/A</definedName>
    <definedName name="Slicer_Genre">#N/A</definedName>
    <definedName name="Slicer_Language_Code">#N/A</definedName>
    <definedName name="Slicer_Publish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6" i="5" l="1"/>
  <c r="H9" i="5"/>
  <c r="H3" i="5"/>
  <c r="I6"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9F7946-9368-4D3B-AD34-73DEA7D351A6}"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<sst xmlns="http://schemas.openxmlformats.org/spreadsheetml/2006/main" count="6502" uniqueCount="1828">
  <si>
    <t>Publishing_Year</t>
  </si>
  <si>
    <t>Book_Name</t>
  </si>
  <si>
    <t>Author</t>
  </si>
  <si>
    <t>Language_Code</t>
  </si>
  <si>
    <t>Author_Rating</t>
  </si>
  <si>
    <t>Book_Average_Rating</t>
  </si>
  <si>
    <t>Book_Ratings_Count</t>
  </si>
  <si>
    <t>Genre</t>
  </si>
  <si>
    <t>Gross_Sales</t>
  </si>
  <si>
    <t>Publisher_Revenue</t>
  </si>
  <si>
    <t>Sale_Price</t>
  </si>
  <si>
    <t>Sale_Rank</t>
  </si>
  <si>
    <t>Publisher</t>
  </si>
  <si>
    <t>Units_Sold</t>
  </si>
  <si>
    <t>Beowulf</t>
  </si>
  <si>
    <t>Unknown, Seamus Heaney</t>
  </si>
  <si>
    <t>en-US</t>
  </si>
  <si>
    <t>Novice</t>
  </si>
  <si>
    <t>literary fiction</t>
  </si>
  <si>
    <t>HarperCollins Publishers</t>
  </si>
  <si>
    <t>Batman: Year One</t>
  </si>
  <si>
    <t>Frank Miller, David Mazzucchelli, Richmond Lewis, Dennis O'Neil</t>
  </si>
  <si>
    <t>eng</t>
  </si>
  <si>
    <t>Intermediate</t>
  </si>
  <si>
    <t>Go Set a Watchman</t>
  </si>
  <si>
    <t>Harper Lee</t>
  </si>
  <si>
    <t>Amazon Digital Services,  Inc.</t>
  </si>
  <si>
    <t>When You Are Engulfed in Flames</t>
  </si>
  <si>
    <t>David Sedaris</t>
  </si>
  <si>
    <t>fiction</t>
  </si>
  <si>
    <t>Hachette Book Group</t>
  </si>
  <si>
    <t>Daughter of Smoke &amp; Bone</t>
  </si>
  <si>
    <t>Laini Taylor</t>
  </si>
  <si>
    <t>Penguin Group (USA) LLC</t>
  </si>
  <si>
    <t>Red Queen</t>
  </si>
  <si>
    <t>Victoria Aveyard</t>
  </si>
  <si>
    <t>The Power of Habit</t>
  </si>
  <si>
    <t>Charles Duhigg</t>
  </si>
  <si>
    <t>Midnight in the Garden of Good and Evil</t>
  </si>
  <si>
    <t>John Berendt</t>
  </si>
  <si>
    <t>nonfiction</t>
  </si>
  <si>
    <t>Hopeless</t>
  </si>
  <si>
    <t>Colleen Hoover</t>
  </si>
  <si>
    <t>A Little Princess</t>
  </si>
  <si>
    <t>Frances Hodgson Burnett, Nancy Bond</t>
  </si>
  <si>
    <t>Random House LLC</t>
  </si>
  <si>
    <t>The Truth About Forever</t>
  </si>
  <si>
    <t>Sarah Dessen</t>
  </si>
  <si>
    <t>The horse and his boy</t>
  </si>
  <si>
    <t>C.S. Lewis</t>
  </si>
  <si>
    <t xml:space="preserve">Last Sacrifice </t>
  </si>
  <si>
    <t>Richelle Mead</t>
  </si>
  <si>
    <t>Famous</t>
  </si>
  <si>
    <t>Little House on the Prairie</t>
  </si>
  <si>
    <t>Laura Ingalls Wilder, Garth Williams</t>
  </si>
  <si>
    <t>The Velveteen Rabbit</t>
  </si>
  <si>
    <t>Margery Williams Bianco, William   Nicholson</t>
  </si>
  <si>
    <t>Zen and the Art of Motorcycle Maintenance</t>
  </si>
  <si>
    <t>Robert M. Pirsig</t>
  </si>
  <si>
    <t>The War of the Worlds</t>
  </si>
  <si>
    <t>H.G. Wells, Arthur C. Clarke</t>
  </si>
  <si>
    <t>Pretty Little Liars</t>
  </si>
  <si>
    <t>Sara Shepard</t>
  </si>
  <si>
    <t>Corduroy</t>
  </si>
  <si>
    <t>Don Freeman</t>
  </si>
  <si>
    <t>Simon and Schuster Digital Sales Inc</t>
  </si>
  <si>
    <t>The Omnivore's Dilemma</t>
  </si>
  <si>
    <t>Michael Pollan</t>
  </si>
  <si>
    <t>Life After Life</t>
  </si>
  <si>
    <t>Kate Atkinson</t>
  </si>
  <si>
    <t>The Rescue</t>
  </si>
  <si>
    <t>Nicholas Sparks</t>
  </si>
  <si>
    <t>Needful Things</t>
  </si>
  <si>
    <t>Stephen King</t>
  </si>
  <si>
    <t>Voyager</t>
  </si>
  <si>
    <t>Diana Gabaldon</t>
  </si>
  <si>
    <t>Cujo</t>
  </si>
  <si>
    <t>Kenneth Branagh, William Shakespeare</t>
  </si>
  <si>
    <t>spa</t>
  </si>
  <si>
    <t>The Virgin Suicides</t>
  </si>
  <si>
    <t>Jeffrey Eugenides</t>
  </si>
  <si>
    <t>Dead to the World</t>
  </si>
  <si>
    <t>Charlaine Harris</t>
  </si>
  <si>
    <t>Tess of the d'Urbervilles: A Pure Woman Faithfully Presented</t>
  </si>
  <si>
    <t>Thomas Hardy, Tim Dolin, Margaret R. Higonnet</t>
  </si>
  <si>
    <t>Madame Bovary</t>
  </si>
  <si>
    <t>Gustave Flaubert, Margaret Mauldon, Malcolm Bowie, Mark Overstall</t>
  </si>
  <si>
    <t>The Phantom Tollbooth</t>
  </si>
  <si>
    <t>Norton Juster, Jules Feiffer</t>
  </si>
  <si>
    <t>The Way of Kings</t>
  </si>
  <si>
    <t>Brandon Sanderson</t>
  </si>
  <si>
    <t>Club Dead</t>
  </si>
  <si>
    <t>en-GB</t>
  </si>
  <si>
    <t>It's Kind of a Funny Story</t>
  </si>
  <si>
    <t>Ned Vizzini</t>
  </si>
  <si>
    <t>After You</t>
  </si>
  <si>
    <t>Jojo Moyes</t>
  </si>
  <si>
    <t>The Language of Flowers</t>
  </si>
  <si>
    <t>Vanessa Diffenbaugh</t>
  </si>
  <si>
    <t>Batman: The Dark Knight Returns</t>
  </si>
  <si>
    <t>Frank Miller, Klaus Janson, Lynn Varley</t>
  </si>
  <si>
    <t>The Angel Experiment</t>
  </si>
  <si>
    <t>James Patterson</t>
  </si>
  <si>
    <t>High Fidelity</t>
  </si>
  <si>
    <t>Nick Hornby</t>
  </si>
  <si>
    <t>The Guardian</t>
  </si>
  <si>
    <t>Oryx and Crake</t>
  </si>
  <si>
    <t>Margaret Atwood</t>
  </si>
  <si>
    <t>Men Are from Mars, Women Are from Venus Book of Days: 365 Inspirations to Enrich Your Relationships</t>
  </si>
  <si>
    <t>John Gray</t>
  </si>
  <si>
    <t>Kitchen Confidential: Adventures in the Culinary Underbelly</t>
  </si>
  <si>
    <t>Anthony Bourdain</t>
  </si>
  <si>
    <t>Timeline</t>
  </si>
  <si>
    <t>Michael Crichton</t>
  </si>
  <si>
    <t>Candide</t>
  </si>
  <si>
    <t>Voltaire</t>
  </si>
  <si>
    <t>Tuck Everlasting</t>
  </si>
  <si>
    <t>Natalie Babbitt</t>
  </si>
  <si>
    <t>Christine</t>
  </si>
  <si>
    <t>Stephen King, Marie Milpois</t>
  </si>
  <si>
    <t>fre</t>
  </si>
  <si>
    <t>Are You My Mother?</t>
  </si>
  <si>
    <t>P.D. Eastman</t>
  </si>
  <si>
    <t>The Story of Art</t>
  </si>
  <si>
    <t>E.H. Gombrich</t>
  </si>
  <si>
    <t>Scarlet</t>
  </si>
  <si>
    <t>Marissa Meyer</t>
  </si>
  <si>
    <t>Rich Dad , Poor Dad</t>
  </si>
  <si>
    <t>Robert T. Kiyosaki</t>
  </si>
  <si>
    <t xml:space="preserve">Silence </t>
  </si>
  <si>
    <t>Becca Fitzpatrick</t>
  </si>
  <si>
    <t>The Magicians</t>
  </si>
  <si>
    <t>Lev Grossman</t>
  </si>
  <si>
    <t>Macmillan</t>
  </si>
  <si>
    <t>ãƒ‡ã‚¹ãƒŽãƒ¼ãƒˆ #1 (Desu NÅto) Taikutsu (é€€å±ˆ)</t>
  </si>
  <si>
    <t>Tsugumi Ohba, Takeshi Obata</t>
  </si>
  <si>
    <t>A Great and Terrible Beauty</t>
  </si>
  <si>
    <t>Libba Bray</t>
  </si>
  <si>
    <t>Everything Is Illuminated</t>
  </si>
  <si>
    <t>Jonathan Safran Foer</t>
  </si>
  <si>
    <t>The Bourne Supremacy</t>
  </si>
  <si>
    <t>Robert Ludlum</t>
  </si>
  <si>
    <t>Easy</t>
  </si>
  <si>
    <t>Tammara Webber</t>
  </si>
  <si>
    <t>en-CA</t>
  </si>
  <si>
    <t>David Copperfield</t>
  </si>
  <si>
    <t>Charles Dickens, Jeremy Tambling</t>
  </si>
  <si>
    <t>The Absolutely True Diary of a Part-Time Indian</t>
  </si>
  <si>
    <t>Sherman Alexie, Ellen Forney</t>
  </si>
  <si>
    <t>ÐœÐ°ÑÑ‚ÐµÑ€ Ð¸ ÐœÐ°Ñ€Ð³Ð°Ñ€Ð¸Ñ‚Ð°</t>
  </si>
  <si>
    <t>Mikhail Bulgakov, Katherine Tiernan O'Connor, Diana Burgin, Ellendea Proffer</t>
  </si>
  <si>
    <t>A Wizard of Earthsea</t>
  </si>
  <si>
    <t>Ursula K. Le Guin</t>
  </si>
  <si>
    <t>Because of Winn-Dixie</t>
  </si>
  <si>
    <t>Kate DiCamillo, Chris Sheban</t>
  </si>
  <si>
    <t>A Separate Peace</t>
  </si>
  <si>
    <t>John Knowles</t>
  </si>
  <si>
    <t>The Rainmaker</t>
  </si>
  <si>
    <t>John Grisham</t>
  </si>
  <si>
    <t>Don Quijote de La Mancha</t>
  </si>
  <si>
    <t>Miguel de Cervantes Saavedra, Roberto GonzÃ¡lez EchevarrÃ­a, John Rutherford</t>
  </si>
  <si>
    <t>Assassin's Apprentice</t>
  </si>
  <si>
    <t>Robin Hobb</t>
  </si>
  <si>
    <t>The Restaurant at the End of the Universe</t>
  </si>
  <si>
    <t>Douglas Adams</t>
  </si>
  <si>
    <t>Torment</t>
  </si>
  <si>
    <t>Lauren Kate</t>
  </si>
  <si>
    <t>The Tale of Peter Rabbit</t>
  </si>
  <si>
    <t>Beatrix Potter</t>
  </si>
  <si>
    <t>The Silver Chair</t>
  </si>
  <si>
    <t>C.S. Lewis, Pauline Baynes</t>
  </si>
  <si>
    <t>The Hero of Ages</t>
  </si>
  <si>
    <t>Girl, Interrupted</t>
  </si>
  <si>
    <t>Susanna Kaysen</t>
  </si>
  <si>
    <t>Are You There, Vodka? It's Me, Chelsea</t>
  </si>
  <si>
    <t>Chelsea Handler</t>
  </si>
  <si>
    <t>Jonathan Livingston Seagull</t>
  </si>
  <si>
    <t>Richard Bach, Russell Munson</t>
  </si>
  <si>
    <t>City of Heavenly Fire</t>
  </si>
  <si>
    <t>Cassandra Clare</t>
  </si>
  <si>
    <t>Love You Forever</t>
  </si>
  <si>
    <t>Robert Munsch, Sheila McGraw</t>
  </si>
  <si>
    <t>Cell</t>
  </si>
  <si>
    <t>The Boys in the Boat: Nine Americans and Their Epic Quest for Gold at the 1936 Berlin Olympics</t>
  </si>
  <si>
    <t>Daniel James Brown</t>
  </si>
  <si>
    <t>The Silmarillion</t>
  </si>
  <si>
    <t>J.R.R. Tolkien, Christopher Tolkien, Ted Nasmith</t>
  </si>
  <si>
    <t>The Drawing of the Three</t>
  </si>
  <si>
    <t>The Forgotten Garden</t>
  </si>
  <si>
    <t>Kate Morton</t>
  </si>
  <si>
    <t>Der ProzeÃŸ</t>
  </si>
  <si>
    <t>Franz Kafka, Edwin Muir, Willa Muir, Max Brod</t>
  </si>
  <si>
    <t>This Lullaby</t>
  </si>
  <si>
    <t>Plain Truth</t>
  </si>
  <si>
    <t>Jodi Picoult</t>
  </si>
  <si>
    <t>Orange Is the New Black: My Year in a Women's Prison</t>
  </si>
  <si>
    <t>Piper Kerman</t>
  </si>
  <si>
    <t>The Hound of the Baskervilles</t>
  </si>
  <si>
    <t>Arthur Conan Doyle, Anne Perry</t>
  </si>
  <si>
    <t>Thinking, Fast and Slow</t>
  </si>
  <si>
    <t>Daniel Kahneman</t>
  </si>
  <si>
    <t>The Mists of Avalon</t>
  </si>
  <si>
    <t>Marion Zimmer Bradley</t>
  </si>
  <si>
    <t>Are You There God? It's Me, Margaret</t>
  </si>
  <si>
    <t>Judy Blume</t>
  </si>
  <si>
    <t>Nights in Rodanthe</t>
  </si>
  <si>
    <t>Mr. Mercedes</t>
  </si>
  <si>
    <t>All Together Dead</t>
  </si>
  <si>
    <t>Midwives</t>
  </si>
  <si>
    <t>Chris Bohjalian</t>
  </si>
  <si>
    <t>The Polar Express</t>
  </si>
  <si>
    <t>Chris Van Allsburg</t>
  </si>
  <si>
    <t>The True Story of the Three Little Pigs</t>
  </si>
  <si>
    <t>Jon Scieszka, Lane Smith</t>
  </si>
  <si>
    <t>Patriot Games</t>
  </si>
  <si>
    <t>Tom Clancy</t>
  </si>
  <si>
    <t>Veronika decide morrer</t>
  </si>
  <si>
    <t>Paulo Coelho, Margaret Jull Costa</t>
  </si>
  <si>
    <t>Lean In: Women, Work, and the Will to Lead</t>
  </si>
  <si>
    <t>Sheryl Sandberg, Nell Scovell</t>
  </si>
  <si>
    <t xml:space="preserve">Dead as a Doornail </t>
  </si>
  <si>
    <t>Shatter Me (Shatter Me, #1)</t>
  </si>
  <si>
    <t>Tahereh Mafi</t>
  </si>
  <si>
    <t>Starship Troopers</t>
  </si>
  <si>
    <t>Robert A. Heinlein</t>
  </si>
  <si>
    <t>I've Got Your Number</t>
  </si>
  <si>
    <t>Sophie Kinsella</t>
  </si>
  <si>
    <t>Sofies Verden</t>
  </si>
  <si>
    <t>Jostein Gaarder, Paulette MÃ¸ller</t>
  </si>
  <si>
    <t>The Martian Chronicles</t>
  </si>
  <si>
    <t>Mark Cotta Vaz</t>
  </si>
  <si>
    <t>Ray Bradbury</t>
  </si>
  <si>
    <t>A Visit From the Goon Squad</t>
  </si>
  <si>
    <t>Jennifer Egan</t>
  </si>
  <si>
    <t>Heidi</t>
  </si>
  <si>
    <t>Johanna Spyri, Angelo  Rinaldi, Beverly Cleary</t>
  </si>
  <si>
    <t>Prey</t>
  </si>
  <si>
    <t>The Last Battle</t>
  </si>
  <si>
    <t>World Without End</t>
  </si>
  <si>
    <t>Ken Follett</t>
  </si>
  <si>
    <t>Chosen: A House of Night Novel</t>
  </si>
  <si>
    <t>P.C. Cast, Kristin Cast</t>
  </si>
  <si>
    <t>Slammed</t>
  </si>
  <si>
    <t>Beastly (Beastly, #1, Kendra Chronicles, #1)</t>
  </si>
  <si>
    <t>Alex Flinn</t>
  </si>
  <si>
    <t>Tales of Caunterbury</t>
  </si>
  <si>
    <t>Geoffrey Chaucer, Nevill Coghill</t>
  </si>
  <si>
    <t>Baby Proof</t>
  </si>
  <si>
    <t>Emily Giffin</t>
  </si>
  <si>
    <t>Inheritance</t>
  </si>
  <si>
    <t>Christopher Paolini</t>
  </si>
  <si>
    <t>ã„ã¡ãã‚…ã†ã¯ã¡ã‚ˆã‚“ [Ichi-KyÅ«-Hachi-Yon]</t>
  </si>
  <si>
    <t>Haruki Murakami, Jay Rubin, Philip Gabriel</t>
  </si>
  <si>
    <t>Uncle Tom's Cabin or Life Among the Lowly</t>
  </si>
  <si>
    <t>Harriet Beecher Stowe</t>
  </si>
  <si>
    <t>Le FantÃ´me de l'OpÃ©ra</t>
  </si>
  <si>
    <t>Gaston Leroux, Alexander Teixeira de Mattos</t>
  </si>
  <si>
    <t>Definitely Dead (Sookie Stackhouse, #6)</t>
  </si>
  <si>
    <t>Ensaio Sobre a Cegueira</t>
  </si>
  <si>
    <t>JosÃ© Saramago, Giovanni Pontiero</t>
  </si>
  <si>
    <t>Freedom</t>
  </si>
  <si>
    <t>Jonathan Franzen</t>
  </si>
  <si>
    <t>Crossed</t>
  </si>
  <si>
    <t>Ally Condie</t>
  </si>
  <si>
    <t>I'd Tell You I Love You, But Then I'd Have to Kill You</t>
  </si>
  <si>
    <t>Ally Carter</t>
  </si>
  <si>
    <t>The White Tiger</t>
  </si>
  <si>
    <t>Aravind Adiga</t>
  </si>
  <si>
    <t>The Corrections</t>
  </si>
  <si>
    <t>Dreams from My Father</t>
  </si>
  <si>
    <t>Barack Obama</t>
  </si>
  <si>
    <t>Congo</t>
  </si>
  <si>
    <t>Alexander and the Terrible, Horrible, No Good, Very Bad Day</t>
  </si>
  <si>
    <t>Judith Viorst, Ray Cruz</t>
  </si>
  <si>
    <t>Interpreter of Maladies</t>
  </si>
  <si>
    <t>Jhumpa Lahiri</t>
  </si>
  <si>
    <t xml:space="preserve">A People's History of the United States: 1492 to Present </t>
  </si>
  <si>
    <t>Howard Zinn</t>
  </si>
  <si>
    <t>Breakfast at Tiffany's</t>
  </si>
  <si>
    <t>Truman Capote</t>
  </si>
  <si>
    <t>The Passage</t>
  </si>
  <si>
    <t>Justin Cronin</t>
  </si>
  <si>
    <t>Anansi Boys</t>
  </si>
  <si>
    <t>Neil Gaiman</t>
  </si>
  <si>
    <t>Along for the Ride</t>
  </si>
  <si>
    <t>Everything I Never Told You</t>
  </si>
  <si>
    <t>Celeste Ng</t>
  </si>
  <si>
    <t>La casa de los espÃ­ritus</t>
  </si>
  <si>
    <t>Isabel Allende, Magda Bogin</t>
  </si>
  <si>
    <t>The Dead Zone</t>
  </si>
  <si>
    <t>The Mysterious Affair at Styles</t>
  </si>
  <si>
    <t>Agatha Christie, Î¡Î¿Î¶Î¯Ï„Î± Î£ÏŽÎºÎ¿Ï…</t>
  </si>
  <si>
    <t>Murder in the Calais Coach</t>
  </si>
  <si>
    <t>Agatha Christie</t>
  </si>
  <si>
    <t>Americanah</t>
  </si>
  <si>
    <t>Chimamanda Ngozi Adichie</t>
  </si>
  <si>
    <t>Suzanne's Diary for Nicholas</t>
  </si>
  <si>
    <t>Firestarter</t>
  </si>
  <si>
    <t>Entwined with You</t>
  </si>
  <si>
    <t>Sylvia Day</t>
  </si>
  <si>
    <t>Born to Run: A Hidden Tribe, Superathletes, and the Greatest Race the World Has Never Seen</t>
  </si>
  <si>
    <t>Christopher McDougall</t>
  </si>
  <si>
    <t>The Storied Life of A.J. Fikry</t>
  </si>
  <si>
    <t>Gabrielle Zevin</t>
  </si>
  <si>
    <t>Mad About Madeline</t>
  </si>
  <si>
    <t>Ludwig Bemelmans</t>
  </si>
  <si>
    <t>Think and Grow Rich</t>
  </si>
  <si>
    <t>Napoleon Hill</t>
  </si>
  <si>
    <t>Little House In The Big Woods</t>
  </si>
  <si>
    <t>Jonathan Strange &amp; Mr Norrell</t>
  </si>
  <si>
    <t>Susanna Clarke</t>
  </si>
  <si>
    <t>A Bend in the Road</t>
  </si>
  <si>
    <t>The House of Hades</t>
  </si>
  <si>
    <t>Rick Riordan</t>
  </si>
  <si>
    <t>Gone</t>
  </si>
  <si>
    <t>Michael  Grant</t>
  </si>
  <si>
    <t>The Wedding</t>
  </si>
  <si>
    <t>1776</t>
  </si>
  <si>
    <t>David McCullough</t>
  </si>
  <si>
    <t>Under the Banner of Heaven: A Story of Violent Faith</t>
  </si>
  <si>
    <t>Jon Krakauer</t>
  </si>
  <si>
    <t>Beautiful Ruins</t>
  </si>
  <si>
    <t>Jess Walter</t>
  </si>
  <si>
    <t>The Audacity of Hope: Thoughts on Reclaiming the American Dream</t>
  </si>
  <si>
    <t>On Writing: A Memoir of the Craft</t>
  </si>
  <si>
    <t>Firefly Lane</t>
  </si>
  <si>
    <t>Kristin Hannah</t>
  </si>
  <si>
    <t>Sphere</t>
  </si>
  <si>
    <t>Love the One You're With</t>
  </si>
  <si>
    <t>The Silkworm</t>
  </si>
  <si>
    <t>Robert Galbraith, J.K. Rowling</t>
  </si>
  <si>
    <t>The Vampire Lestat</t>
  </si>
  <si>
    <t>Anne Rice</t>
  </si>
  <si>
    <t>State of Wonder</t>
  </si>
  <si>
    <t>Ann Patchett</t>
  </si>
  <si>
    <t>The Silver Linings Playbook</t>
  </si>
  <si>
    <t>Matthew Quick</t>
  </si>
  <si>
    <t>Vingt Mille Lieues Sous les Mers</t>
  </si>
  <si>
    <t>Jules Verne, Anthony Bonner</t>
  </si>
  <si>
    <t>The Constant Princess</t>
  </si>
  <si>
    <t>Philippa Gregory</t>
  </si>
  <si>
    <t>Mrs Dalloway</t>
  </si>
  <si>
    <t>Virginia Woolf, Maureen Howard</t>
  </si>
  <si>
    <t>HundraÃ¥ringen som klev ut genom fÃ¶nstret och fÃ¶rsvann</t>
  </si>
  <si>
    <t>Jonas Jonasson, Rod Bradbury</t>
  </si>
  <si>
    <t>Bag of Bones</t>
  </si>
  <si>
    <t>The Cider House Rules</t>
  </si>
  <si>
    <t>John Irving</t>
  </si>
  <si>
    <t>Thinner</t>
  </si>
  <si>
    <t>Richard Bachman, Stephen King</t>
  </si>
  <si>
    <t>Le tour du monde en quatre-vingts jours</t>
  </si>
  <si>
    <t>Jules Verne, Michael Glencross, Brian W. Aldiss</t>
  </si>
  <si>
    <t>Walk Two Moons</t>
  </si>
  <si>
    <t>Sharon Creech</t>
  </si>
  <si>
    <t>Onze minutos</t>
  </si>
  <si>
    <t>Nine Stories</t>
  </si>
  <si>
    <t>J.D. Salinger</t>
  </si>
  <si>
    <t>Julie &amp; Julia: 365 Days, 524 Recipes, 1 Tiny Apartment Kitchen</t>
  </si>
  <si>
    <t>Julie Powell</t>
  </si>
  <si>
    <t>Unwind</t>
  </si>
  <si>
    <t>Neal Shusterman</t>
  </si>
  <si>
    <t>Drums of Autumn (Outlander, #4)</t>
  </si>
  <si>
    <t>Prodigy</t>
  </si>
  <si>
    <t>Marie Lu</t>
  </si>
  <si>
    <t>The Tragedie of King Lear</t>
  </si>
  <si>
    <t>William Shakespeare</t>
  </si>
  <si>
    <t>Death of a Salesman</t>
  </si>
  <si>
    <t>Arthur Miller</t>
  </si>
  <si>
    <t>The Choice</t>
  </si>
  <si>
    <t>The Sound and the Fury</t>
  </si>
  <si>
    <t>Kate Egan</t>
  </si>
  <si>
    <t>William Faulkner</t>
  </si>
  <si>
    <t>A New Earth: Awakening to Your Life's Purpose</t>
  </si>
  <si>
    <t>Eckhart Tolle</t>
  </si>
  <si>
    <t>BLEACHâ€•ãƒ–ãƒªãƒ¼ãƒâ€•ã€€1</t>
  </si>
  <si>
    <t>Tite Kubo</t>
  </si>
  <si>
    <t xml:space="preserve">The Shadow Rising </t>
  </si>
  <si>
    <t>Allie Brosh</t>
  </si>
  <si>
    <t>Robert Jordan</t>
  </si>
  <si>
    <t>HarperCollins Publishing</t>
  </si>
  <si>
    <t>Shantaram</t>
  </si>
  <si>
    <t>Gregory David Roberts</t>
  </si>
  <si>
    <t>From Dead to Worse</t>
  </si>
  <si>
    <t>The Waste Lands</t>
  </si>
  <si>
    <t>Stephen King, Ned Dameron</t>
  </si>
  <si>
    <t>The Bone Collector</t>
  </si>
  <si>
    <t>Jeffery Deaver</t>
  </si>
  <si>
    <t>Der Vorleser</t>
  </si>
  <si>
    <t>Bernhard Schlink, Carol Brown Janeway</t>
  </si>
  <si>
    <t>Brown Bear, Brown Bear, What Do You See?</t>
  </si>
  <si>
    <t>Bill Martin Jr., Eric Carle</t>
  </si>
  <si>
    <t>Hyperion</t>
  </si>
  <si>
    <t>Dan Simmons</t>
  </si>
  <si>
    <t>The Pearl of the World</t>
  </si>
  <si>
    <t>John Steinbeck</t>
  </si>
  <si>
    <t>The Exorcist</t>
  </si>
  <si>
    <t>William Peter Blatty</t>
  </si>
  <si>
    <t>The Short Second Life of Bree Tanner</t>
  </si>
  <si>
    <t>Stephenie Meyer</t>
  </si>
  <si>
    <t>Snow Falling on Cedars</t>
  </si>
  <si>
    <t>David Guterson</t>
  </si>
  <si>
    <t>Roots</t>
  </si>
  <si>
    <t>Alex Haley</t>
  </si>
  <si>
    <t xml:space="preserve">Batman: The Killing Joke </t>
  </si>
  <si>
    <t>Alan Moore, Brian Bolland, Tim Sale</t>
  </si>
  <si>
    <t>Invisible Man</t>
  </si>
  <si>
    <t>Ralph Ellison</t>
  </si>
  <si>
    <t>A Long Way Gone. Memoirs of a Boy Soldier</t>
  </si>
  <si>
    <t>Ishmael Beah</t>
  </si>
  <si>
    <t>Mrs. Frisby and the Rats of NIMH</t>
  </si>
  <si>
    <t>Robert C. O'Brien</t>
  </si>
  <si>
    <t>Different Seasons</t>
  </si>
  <si>
    <t>The Little House Collection</t>
  </si>
  <si>
    <t>The Girls' Guide to Hunting and Fishing</t>
  </si>
  <si>
    <t>Melissa Bank</t>
  </si>
  <si>
    <t>Wool Omnibus</t>
  </si>
  <si>
    <t>Hugh Howey</t>
  </si>
  <si>
    <t>Lamb: The Gospel According to Biff, Christ's Childhood Pal</t>
  </si>
  <si>
    <t>Christopher Moore</t>
  </si>
  <si>
    <t>The Power of Now</t>
  </si>
  <si>
    <t>Let's Pretend This Never Happened (A Mostly True Memoir)</t>
  </si>
  <si>
    <t>Jenny  Lawson</t>
  </si>
  <si>
    <t>The Lies of Locke Lamora</t>
  </si>
  <si>
    <t>Scott Lynch</t>
  </si>
  <si>
    <t>Sabriel</t>
  </si>
  <si>
    <t>Garth Nix</t>
  </si>
  <si>
    <t>Dead and Gone</t>
  </si>
  <si>
    <t>The Storyteller</t>
  </si>
  <si>
    <t>Obsidian</t>
  </si>
  <si>
    <t>Jennifer L. Armentrout</t>
  </si>
  <si>
    <t>Life, the Universe and Everything</t>
  </si>
  <si>
    <t>Crown of Midnight</t>
  </si>
  <si>
    <t>Sarah J. Maas</t>
  </si>
  <si>
    <t>Scott Pilgrim, Volume 1: Scott Pilgrim's Precious Little Life</t>
  </si>
  <si>
    <t>Bryan Lee O'Malley</t>
  </si>
  <si>
    <t>Half Broke Horses: A True Life Novel</t>
  </si>
  <si>
    <t>Jeannette Walls</t>
  </si>
  <si>
    <t>Mort</t>
  </si>
  <si>
    <t>Terry Pratchett</t>
  </si>
  <si>
    <t xml:space="preserve">The Iron King (The Iron Fey, #1) </t>
  </si>
  <si>
    <t>Julie Kagawa</t>
  </si>
  <si>
    <t>Lonesome Dove</t>
  </si>
  <si>
    <t>Larry McMurtry</t>
  </si>
  <si>
    <t>Stiff: The Curious Lives of Human Cadavers</t>
  </si>
  <si>
    <t>Mary Roach</t>
  </si>
  <si>
    <t>Bloodlines</t>
  </si>
  <si>
    <t>Ender's Shadow</t>
  </si>
  <si>
    <t>Orson Scott Card</t>
  </si>
  <si>
    <t>Twenties Girl</t>
  </si>
  <si>
    <t>Schindler's Ark</t>
  </si>
  <si>
    <t>Thomas Keneally</t>
  </si>
  <si>
    <t>The Bluest Eye</t>
  </si>
  <si>
    <t>Toni Morrison</t>
  </si>
  <si>
    <t>The White Queen</t>
  </si>
  <si>
    <t>The Autobiography of Malcolm X</t>
  </si>
  <si>
    <t>Malcolm X, Alex Haley</t>
  </si>
  <si>
    <t>Preludes &amp; Nocturnes</t>
  </si>
  <si>
    <t>Neil Gaiman, Sam Kieth, Mike Dringenberg, Malcolm Jones III, Todd Klein, Karen  Berger</t>
  </si>
  <si>
    <t>Seabiscuit</t>
  </si>
  <si>
    <t>Laura Hillenbrand</t>
  </si>
  <si>
    <t>Shutter Island</t>
  </si>
  <si>
    <t>Dennis Lehane</t>
  </si>
  <si>
    <t>The Complete Sherlock Holmes</t>
  </si>
  <si>
    <t>Arthur Conan Doyle</t>
  </si>
  <si>
    <t>The Tragedy of Julius Caesar</t>
  </si>
  <si>
    <t>William Shakespeare, Roma Gill</t>
  </si>
  <si>
    <t>In the Garden of Beasts: Love, Terror, and an American Family in Hitler's Berlin</t>
  </si>
  <si>
    <t>Erik Larson</t>
  </si>
  <si>
    <t>Î Î¿Î»Î¹Ï„ÎµÎ¯Î±</t>
  </si>
  <si>
    <t>Plato, Desmond Lee</t>
  </si>
  <si>
    <t>The Taming of the Shrew</t>
  </si>
  <si>
    <t>Cress</t>
  </si>
  <si>
    <t>Just Kids</t>
  </si>
  <si>
    <t>Patti Smith</t>
  </si>
  <si>
    <t>Jemima J</t>
  </si>
  <si>
    <t>Phaidon Press</t>
  </si>
  <si>
    <t>Jane Green</t>
  </si>
  <si>
    <t>Notre-Dame de Paris</t>
  </si>
  <si>
    <t>Victor Hugo, Walter J. Cobb</t>
  </si>
  <si>
    <t>A Fine Balance</t>
  </si>
  <si>
    <t>Rohinton Mistry</t>
  </si>
  <si>
    <t>Calvin and Hobbes</t>
  </si>
  <si>
    <t>Bill Watterson, G.B. Trudeau</t>
  </si>
  <si>
    <t>Specials</t>
  </si>
  <si>
    <t>Scott Westerfeld</t>
  </si>
  <si>
    <t>The Awakening</t>
  </si>
  <si>
    <t>Kate Chopin</t>
  </si>
  <si>
    <t>Hunted</t>
  </si>
  <si>
    <t>For One More Day</t>
  </si>
  <si>
    <t>Mitch Albom</t>
  </si>
  <si>
    <t>Clear and Present Danger</t>
  </si>
  <si>
    <t>Falling Up</t>
  </si>
  <si>
    <t>Shel Silverstein</t>
  </si>
  <si>
    <t>Sh*t My Dad Says</t>
  </si>
  <si>
    <t>Justin Halpern</t>
  </si>
  <si>
    <t>Trainspotting</t>
  </si>
  <si>
    <t>Irvine Welsh, Eric Lindor Fall</t>
  </si>
  <si>
    <t>Foundation and Empire</t>
  </si>
  <si>
    <t>Isaac Asimov</t>
  </si>
  <si>
    <t>The Four Agreements: A Practical Guide to Personal Freedom, A Toltec Wisdom Book</t>
  </si>
  <si>
    <t>Miguel Ruiz</t>
  </si>
  <si>
    <t>House Rules</t>
  </si>
  <si>
    <t>BrÃ¼der Grimm: Kinder- und HausmÃ¤rchen</t>
  </si>
  <si>
    <t>Jacob Grimm, Wilhelm Grimm, Josef Scharl, Padraic Colum, Joseph Campbell, Margaret Raine Hunt, James Stern</t>
  </si>
  <si>
    <t>From the Mixed-Up Files of Mrs. Basil E. Frankweiler</t>
  </si>
  <si>
    <t>E.L. Konigsburg</t>
  </si>
  <si>
    <t>Doctor Sleep</t>
  </si>
  <si>
    <t>About a Boy</t>
  </si>
  <si>
    <t>On Dublin Street</t>
  </si>
  <si>
    <t>Samantha Young</t>
  </si>
  <si>
    <t>Crazy Love: Overwhelmed by a Relentless God</t>
  </si>
  <si>
    <t>Francis Chan, Danae Yankoski, Chris Tomlin</t>
  </si>
  <si>
    <t>One Fish, Two Fish, Red Fish, Blue Fish</t>
  </si>
  <si>
    <t>Dr. Seuss</t>
  </si>
  <si>
    <t>Watchers</t>
  </si>
  <si>
    <t>Dean Koontz</t>
  </si>
  <si>
    <t>The Story of My Life</t>
  </si>
  <si>
    <t>Helen Keller</t>
  </si>
  <si>
    <t>This Is Where I Leave You</t>
  </si>
  <si>
    <t>Jonathan Tropper</t>
  </si>
  <si>
    <t>Abraham Lincoln: Vampire Hunter</t>
  </si>
  <si>
    <t>Seth Grahame-Smith</t>
  </si>
  <si>
    <t>ãƒ•ãƒ«ãƒ¼ãƒ„ãƒã‚¹ã‚±ãƒƒãƒˆ 1</t>
  </si>
  <si>
    <t>Natsuki Takaya, Alethea Nibley, Athena Nibley</t>
  </si>
  <si>
    <t>The Tempest</t>
  </si>
  <si>
    <t>Burned: A House of Night Novel</t>
  </si>
  <si>
    <t>Wizard and Glass</t>
  </si>
  <si>
    <t>Stephen King, Dave McKean</t>
  </si>
  <si>
    <t>The Circle</t>
  </si>
  <si>
    <t>Dave Eggers</t>
  </si>
  <si>
    <t>The Invention of Hugo Cabret</t>
  </si>
  <si>
    <t>Brian Selznick</t>
  </si>
  <si>
    <t>Brave New World/Brave New World Revisited</t>
  </si>
  <si>
    <t>Aldous Huxley, Christopher Hitchens</t>
  </si>
  <si>
    <t>æ¡œè˜­é«˜æ ¡ãƒ›ã‚¹ãƒˆéƒ¨ 1</t>
  </si>
  <si>
    <t>Bisco Hatori</t>
  </si>
  <si>
    <t>Excellent</t>
  </si>
  <si>
    <t>The Good Girl</t>
  </si>
  <si>
    <t>Mary Kubica</t>
  </si>
  <si>
    <t>Fallen Too Far (Too Far, #1)</t>
  </si>
  <si>
    <t>Abbi Glines</t>
  </si>
  <si>
    <t>Landline</t>
  </si>
  <si>
    <t>Rainbow Rowell</t>
  </si>
  <si>
    <t>Tempted</t>
  </si>
  <si>
    <t>No Country for Old Men</t>
  </si>
  <si>
    <t>Cormac McCarthy</t>
  </si>
  <si>
    <t>Wolf Hall</t>
  </si>
  <si>
    <t>Hilary Mantel</t>
  </si>
  <si>
    <t>Howl's Moving Castle</t>
  </si>
  <si>
    <t>Diana Wynne Jones</t>
  </si>
  <si>
    <t>Dreamcatcher</t>
  </si>
  <si>
    <t>Stephen King, William Olivier Desmond</t>
  </si>
  <si>
    <t>Walden; or Life in the Woods</t>
  </si>
  <si>
    <t>Henry David Thoreau</t>
  </si>
  <si>
    <t>The Remains of the Day</t>
  </si>
  <si>
    <t>Kazuo Ishiguro</t>
  </si>
  <si>
    <t>The Best of Me</t>
  </si>
  <si>
    <t>The Sense of an Ending</t>
  </si>
  <si>
    <t>Julian Barnes</t>
  </si>
  <si>
    <t>A is for Alibi</t>
  </si>
  <si>
    <t>Sue Grafton</t>
  </si>
  <si>
    <t>ÎŸá¼°Î´Î¯Ï€Î¿Ï…Ï‚ Î¤ÏÏÎ±Î½Î½Î¿Ï‚</t>
  </si>
  <si>
    <t>Sophocles, J.E. Thomas</t>
  </si>
  <si>
    <t>Shanghai Girls</t>
  </si>
  <si>
    <t>Lisa See</t>
  </si>
  <si>
    <t>The Wind in the Willows</t>
  </si>
  <si>
    <t>Kenneth Grahame, Gillian Avery</t>
  </si>
  <si>
    <t>To All the Boys I've Loved Before</t>
  </si>
  <si>
    <t>Jenny Han</t>
  </si>
  <si>
    <t>Persepolis</t>
  </si>
  <si>
    <t>Marjane Satrapi, Mattias Ripa</t>
  </si>
  <si>
    <t>A Room with a View</t>
  </si>
  <si>
    <t>E.M. Forster</t>
  </si>
  <si>
    <t>The DUFF: Designated Ugly Fat Friend</t>
  </si>
  <si>
    <t>Kody Keplinger</t>
  </si>
  <si>
    <t>Lock and Key</t>
  </si>
  <si>
    <t>Naked in Death</t>
  </si>
  <si>
    <t>J.D. Robb</t>
  </si>
  <si>
    <t>The Chamber</t>
  </si>
  <si>
    <t>Midnight Sun (Partial Draft)</t>
  </si>
  <si>
    <t xml:space="preserve">NARUTO -ãƒŠãƒ«ãƒˆ- å·»ãƒŽä¸€ </t>
  </si>
  <si>
    <t>Masashi Kishimoto, Katy Bridges</t>
  </si>
  <si>
    <t>HarperCollins Christian Publishing</t>
  </si>
  <si>
    <t>The Unlikely Pilgrimage of Harold Fry</t>
  </si>
  <si>
    <t>Rachel Joyce</t>
  </si>
  <si>
    <t>Every Day</t>
  </si>
  <si>
    <t>David Levithan</t>
  </si>
  <si>
    <t>Xenocide</t>
  </si>
  <si>
    <t>The Merchant of Venice</t>
  </si>
  <si>
    <t>William Shakespeare, Robert          Jackson, Barbara A. Mowat, Paul Werstine</t>
  </si>
  <si>
    <t>ShÅgun</t>
  </si>
  <si>
    <t>James Clavell</t>
  </si>
  <si>
    <t>Lover Awakened (Black Dagger Brotherhood, #3)</t>
  </si>
  <si>
    <t>J.R. Ward</t>
  </si>
  <si>
    <t>A Court of Thorns and Roses</t>
  </si>
  <si>
    <t>Chicka Chicka Boom Boom</t>
  </si>
  <si>
    <t>E.L. James</t>
  </si>
  <si>
    <t>Bill Martin Jr., John Archambault, Lois Ehlert</t>
  </si>
  <si>
    <t>Smile</t>
  </si>
  <si>
    <t>Raina Telgemeier</t>
  </si>
  <si>
    <t xml:space="preserve"> Animal Farm &amp; 1984</t>
  </si>
  <si>
    <t>George Orwell, Christopher Hitchens</t>
  </si>
  <si>
    <t>The Deep End of the Ocean</t>
  </si>
  <si>
    <t>Jacquelyn Mitchard</t>
  </si>
  <si>
    <t>The Bonesetter's Daughter</t>
  </si>
  <si>
    <t>Amy Tan</t>
  </si>
  <si>
    <t>Angus, Thongs and Full-Frontal Snogging</t>
  </si>
  <si>
    <t>Louise Rennison</t>
  </si>
  <si>
    <t>Mr. Penumbra's 24-Hour Bookstore</t>
  </si>
  <si>
    <t>Robin Sloan</t>
  </si>
  <si>
    <t>Flowers in the Attic</t>
  </si>
  <si>
    <t>V.C. Andrews</t>
  </si>
  <si>
    <t>children</t>
  </si>
  <si>
    <t>When Breath Becomes Air</t>
  </si>
  <si>
    <t>Paul Kalanithi, Abraham Verghese</t>
  </si>
  <si>
    <t>Maniac Magee</t>
  </si>
  <si>
    <t>Jerry Spinelli</t>
  </si>
  <si>
    <t>Invisible Monsters</t>
  </si>
  <si>
    <t>Chuck Palahniuk</t>
  </si>
  <si>
    <t>Twelfth Night; or, What You Will</t>
  </si>
  <si>
    <t>Gathering Blue</t>
  </si>
  <si>
    <t>Lois Lowry</t>
  </si>
  <si>
    <t>The Westing Game</t>
  </si>
  <si>
    <t>Ellen Raskin</t>
  </si>
  <si>
    <t>Red Rising</t>
  </si>
  <si>
    <t>Pierce Brown</t>
  </si>
  <si>
    <t>The Way of Shadows</t>
  </si>
  <si>
    <t>Brent Weeks</t>
  </si>
  <si>
    <t>The Bean Trees</t>
  </si>
  <si>
    <t>Barbara Kingsolver</t>
  </si>
  <si>
    <t>Walking Disaster</t>
  </si>
  <si>
    <t>Jamie McGuire</t>
  </si>
  <si>
    <t>Words of Radiance</t>
  </si>
  <si>
    <t>Guess How Much I Love You</t>
  </si>
  <si>
    <t>Sam McBratney, Anita Jeram</t>
  </si>
  <si>
    <t>The Fiery Cross</t>
  </si>
  <si>
    <t>Night Shift</t>
  </si>
  <si>
    <t>Stephen King, John D. MacDonald</t>
  </si>
  <si>
    <t>Jaws</t>
  </si>
  <si>
    <t>Peter Benchley</t>
  </si>
  <si>
    <t>The History of Love</t>
  </si>
  <si>
    <t>Nicole Krauss</t>
  </si>
  <si>
    <t>Pippi LÃ¥ngstrump</t>
  </si>
  <si>
    <t>Astrid Lindgren, Lauren Child, Florence Lamborn, Nancy Seligsohn</t>
  </si>
  <si>
    <t>L'Ã©lÃ©gance du hÃ©risson</t>
  </si>
  <si>
    <t>Muriel Barbery, Alison Anderson</t>
  </si>
  <si>
    <t>Team of Rivals: The Political Genius of Abraham Lincoln</t>
  </si>
  <si>
    <t>Doris Kearns Goodwin, Suzanne Toren</t>
  </si>
  <si>
    <t>Dead in the Family</t>
  </si>
  <si>
    <t>La peste</t>
  </si>
  <si>
    <t>Albert Camus, Stuart Gilbert</t>
  </si>
  <si>
    <t>The Reptile Room</t>
  </si>
  <si>
    <t>Lemony Snicket, Brett Helquist</t>
  </si>
  <si>
    <t>Brain on Fire</t>
  </si>
  <si>
    <t>Susannah Cahalan</t>
  </si>
  <si>
    <t xml:space="preserve">Wicked Lovely </t>
  </si>
  <si>
    <t>Melissa Marr</t>
  </si>
  <si>
    <t>Curious George</t>
  </si>
  <si>
    <t>H.A. Rey</t>
  </si>
  <si>
    <t>Die unendliche Geschichte</t>
  </si>
  <si>
    <t>Michael Ende, Ralph Manheim, Roswitha Quadflieg</t>
  </si>
  <si>
    <t>A Beautiful Mind</t>
  </si>
  <si>
    <t>Sylvia Nasar</t>
  </si>
  <si>
    <t>The Jungle</t>
  </si>
  <si>
    <t>Upton Sinclair, Earl Lee, Kathleen DeGrave</t>
  </si>
  <si>
    <t>The Summoning</t>
  </si>
  <si>
    <t>Kelley Armstrong</t>
  </si>
  <si>
    <t>The Man Who Mistook His Wife for a Hat and Other Clinical Tales</t>
  </si>
  <si>
    <t>Oliver Sacks</t>
  </si>
  <si>
    <t>Storm Island</t>
  </si>
  <si>
    <t>The Blind Assassin</t>
  </si>
  <si>
    <t>Hollow City</t>
  </si>
  <si>
    <t>Ransom Riggs</t>
  </si>
  <si>
    <t>House of Sand and Fog</t>
  </si>
  <si>
    <t>Andre Dubus III</t>
  </si>
  <si>
    <t>The Girl with All the Gifts</t>
  </si>
  <si>
    <t>M.R. Carey</t>
  </si>
  <si>
    <t>As I Lay Dying</t>
  </si>
  <si>
    <t>Harold and the Purple Crayon</t>
  </si>
  <si>
    <t>Crockett Johnson</t>
  </si>
  <si>
    <t>Lover Eternal (Black Dagger Brotherhood, #2)</t>
  </si>
  <si>
    <t xml:space="preserve">Fool Moon </t>
  </si>
  <si>
    <t>Jim Butcher</t>
  </si>
  <si>
    <t>David and Goliath</t>
  </si>
  <si>
    <t>Malcolm Gladwell</t>
  </si>
  <si>
    <t>é‹¼ã®éŒ¬é‡‘è¡“å¸« 1</t>
  </si>
  <si>
    <t>Hiromu Arakawa, Akira Watanabe</t>
  </si>
  <si>
    <t>Guards! Guards!</t>
  </si>
  <si>
    <t>The Year of Magical Thinking</t>
  </si>
  <si>
    <t>Joan Didion</t>
  </si>
  <si>
    <t>We Need to Talk About Kevin</t>
  </si>
  <si>
    <t>Lionel Shriver</t>
  </si>
  <si>
    <t>Rendezvous with Rama</t>
  </si>
  <si>
    <t>Arthur C. Clarke</t>
  </si>
  <si>
    <t>The Queen of the Damned</t>
  </si>
  <si>
    <t>The Age of Innocence</t>
  </si>
  <si>
    <t>Edith Wharton, Maureen Howard</t>
  </si>
  <si>
    <t>The Selfish Gene</t>
  </si>
  <si>
    <t>Richard Dawkins</t>
  </si>
  <si>
    <t>Year of Wonders: A Novel of the Plague</t>
  </si>
  <si>
    <t>Geraldine Brooks</t>
  </si>
  <si>
    <t>The Black Echo</t>
  </si>
  <si>
    <t>Michael Connelly</t>
  </si>
  <si>
    <t>Anthem</t>
  </si>
  <si>
    <t>Ayn Rand</t>
  </si>
  <si>
    <t>Gabriel's Inferno</t>
  </si>
  <si>
    <t>Sylvain Reynard</t>
  </si>
  <si>
    <t>Cloudy with a Chance of Meatballs</t>
  </si>
  <si>
    <t>Judi Barrett, Ron Barrett</t>
  </si>
  <si>
    <t>Major Pettigrew's Last Stand</t>
  </si>
  <si>
    <t>Helen Simonson</t>
  </si>
  <si>
    <t>Vision in White</t>
  </si>
  <si>
    <t>Nora Roberts</t>
  </si>
  <si>
    <t>The Tenth Circle</t>
  </si>
  <si>
    <t>The Throne of Fire</t>
  </si>
  <si>
    <t>Old Man's War</t>
  </si>
  <si>
    <t>John Scalzi</t>
  </si>
  <si>
    <t>Gerald's Game</t>
  </si>
  <si>
    <t>Two for the Dough</t>
  </si>
  <si>
    <t>Janet Evanovich</t>
  </si>
  <si>
    <t>The Joy of Cooking</t>
  </si>
  <si>
    <t>Irma S. Rombauer, Marion Rombauer Becker, Ethan Becker</t>
  </si>
  <si>
    <t>The Forever War</t>
  </si>
  <si>
    <t>Joe Haldeman</t>
  </si>
  <si>
    <t>Insomnia</t>
  </si>
  <si>
    <t>Stephen King, Bettina Blanch Tyroller</t>
  </si>
  <si>
    <t>Reading Lolita in Tehran: A Memoir in Books</t>
  </si>
  <si>
    <t>Azar Nafisi</t>
  </si>
  <si>
    <t>The Blade Itself</t>
  </si>
  <si>
    <t>Joe Abercrombie</t>
  </si>
  <si>
    <t>The Arctic Incident</t>
  </si>
  <si>
    <t>Eoin Colfer</t>
  </si>
  <si>
    <t>The Shipping News</t>
  </si>
  <si>
    <t>Annie Proulx</t>
  </si>
  <si>
    <t>äººç”ŸãŒã¨ãã‚ãç‰‡ã¥ã‘ã®é­”æ³•</t>
  </si>
  <si>
    <t>Marie KondÅ, Cathy Hirano</t>
  </si>
  <si>
    <t>All the Bright Places</t>
  </si>
  <si>
    <t>Jennifer Niven, ÙØ±Ø§Ù†Ú© Ù…Ø¹Ù†ÙˆÛŒ</t>
  </si>
  <si>
    <t>DÃ©jÃ  Dead</t>
  </si>
  <si>
    <t>Kathy Reichs</t>
  </si>
  <si>
    <t>The Alchemyst: The Secrets of The Immortal Nicholas Flamel</t>
  </si>
  <si>
    <t>Michael Scott</t>
  </si>
  <si>
    <t>The Marriage Plot</t>
  </si>
  <si>
    <t>Hija de la fortuna</t>
  </si>
  <si>
    <t>Isabel Allende, Margaret Sayers Peden</t>
  </si>
  <si>
    <t>Luckiest Girl Alive</t>
  </si>
  <si>
    <t>Jessica Knoll</t>
  </si>
  <si>
    <t>Crank (Crank, #1)</t>
  </si>
  <si>
    <t>Ellen Hopkins</t>
  </si>
  <si>
    <t>The Raven Boys</t>
  </si>
  <si>
    <t>Maggie Stiefvater</t>
  </si>
  <si>
    <t>I Am Legend and Other Stories</t>
  </si>
  <si>
    <t>Richard Matheson</t>
  </si>
  <si>
    <t>Olive Kitteridge</t>
  </si>
  <si>
    <t>Elizabeth Strout</t>
  </si>
  <si>
    <t>Not that Kind of Girl</t>
  </si>
  <si>
    <t>Lena Dunham, Joana Avillez</t>
  </si>
  <si>
    <t>Good to Great: Why Some Companies Make the Leap... and Others Don't</t>
  </si>
  <si>
    <t>James C. Collins</t>
  </si>
  <si>
    <t>Fire</t>
  </si>
  <si>
    <t>Kristin Cashore</t>
  </si>
  <si>
    <t>En attendant Godot</t>
  </si>
  <si>
    <t>Samuel Beckett</t>
  </si>
  <si>
    <t>White Fang</t>
  </si>
  <si>
    <t>Jack London</t>
  </si>
  <si>
    <t>Wolves of the Calla</t>
  </si>
  <si>
    <t>Stephen King, Bernie Wrightson</t>
  </si>
  <si>
    <t>His Dark Materials</t>
  </si>
  <si>
    <t>Philip Pullman</t>
  </si>
  <si>
    <t>The Edge of Never</t>
  </si>
  <si>
    <t>J.A. Redmerski</t>
  </si>
  <si>
    <t>Reconstructing Amelia</t>
  </si>
  <si>
    <t>Kimberly McCreight</t>
  </si>
  <si>
    <t>The One Plus One</t>
  </si>
  <si>
    <t>The Hours</t>
  </si>
  <si>
    <t>Michael Cunningham</t>
  </si>
  <si>
    <t>Wallbanger</t>
  </si>
  <si>
    <t>Alice Clayton</t>
  </si>
  <si>
    <t>Holidays on Ice</t>
  </si>
  <si>
    <t>Desperation</t>
  </si>
  <si>
    <t>Passion</t>
  </si>
  <si>
    <t>The Kill Order</t>
  </si>
  <si>
    <t>James Dashner</t>
  </si>
  <si>
    <t>Angelfall</t>
  </si>
  <si>
    <t>Susan Ee</t>
  </si>
  <si>
    <t>Empire Falls</t>
  </si>
  <si>
    <t>Richard Russo</t>
  </si>
  <si>
    <t>The Fires of Heaven</t>
  </si>
  <si>
    <t>I'll Give You the Sun</t>
  </si>
  <si>
    <t>Jandy Nelson</t>
  </si>
  <si>
    <t>Survivor</t>
  </si>
  <si>
    <t>Shopaholic and Baby</t>
  </si>
  <si>
    <t>The Dark Tower</t>
  </si>
  <si>
    <t>Twilight Director's Notebook</t>
  </si>
  <si>
    <t>Catherine Hardwicke</t>
  </si>
  <si>
    <t>Shopaholic Abroad</t>
  </si>
  <si>
    <t>Surely You're Joking, Mr. Feynman! Adventures of a Curious Character</t>
  </si>
  <si>
    <t>Richard Feynman</t>
  </si>
  <si>
    <t>Linger</t>
  </si>
  <si>
    <t>The Complete Anne of Green Gables Boxed Set</t>
  </si>
  <si>
    <t>L.M. Montgomery</t>
  </si>
  <si>
    <t>A Portrait of the Artist as a Young Man</t>
  </si>
  <si>
    <t>James Joyce, Seamus Deane</t>
  </si>
  <si>
    <t>The Gathering Storm</t>
  </si>
  <si>
    <t>Robert Jordan, Brandon Sanderson</t>
  </si>
  <si>
    <t>Middlemarch</t>
  </si>
  <si>
    <t>George Eliot, Michel Faber</t>
  </si>
  <si>
    <t>Point of Retreat</t>
  </si>
  <si>
    <t>The Partner</t>
  </si>
  <si>
    <t>The Hobbit and The Lord of the Rings</t>
  </si>
  <si>
    <t>J.R.R. Tolkien</t>
  </si>
  <si>
    <t>Thoughtless</t>
  </si>
  <si>
    <t>S.C. Stephens</t>
  </si>
  <si>
    <t>Presumed Innocent</t>
  </si>
  <si>
    <t>Scott Turow</t>
  </si>
  <si>
    <t>The Dark Half</t>
  </si>
  <si>
    <t>Cleopatra: A Life</t>
  </si>
  <si>
    <t>Stacy Schiff</t>
  </si>
  <si>
    <t>The World Is Flat: A Brief History of the Twenty-first Century</t>
  </si>
  <si>
    <t>Thomas L. Friedman</t>
  </si>
  <si>
    <t>Steelheart</t>
  </si>
  <si>
    <t>Voyage au centre de la Terre</t>
  </si>
  <si>
    <t>Marcus Pfister, J. Alison James</t>
  </si>
  <si>
    <t>Jules Verne</t>
  </si>
  <si>
    <t>The Happiness Project</t>
  </si>
  <si>
    <t>Gretchen Rubin</t>
  </si>
  <si>
    <t>The Man in the High Castle</t>
  </si>
  <si>
    <t>Philip K. Dick</t>
  </si>
  <si>
    <t>Helter Skelter: The True Story of The Manson Murders</t>
  </si>
  <si>
    <t>Vincent Bugliosi, Curt Gentry</t>
  </si>
  <si>
    <t>Inferno</t>
  </si>
  <si>
    <t>Robert Kapilow, Dr. Seuss</t>
  </si>
  <si>
    <t>Dante Alighieri, Anthony M. Esolen</t>
  </si>
  <si>
    <t>Shadow of Night</t>
  </si>
  <si>
    <t>Deborah Harkness</t>
  </si>
  <si>
    <t>Leaving Time</t>
  </si>
  <si>
    <t>Moon Called</t>
  </si>
  <si>
    <t>Patricia Briggs</t>
  </si>
  <si>
    <t>Blue Bloods</t>
  </si>
  <si>
    <t>Melissa de la Cruz</t>
  </si>
  <si>
    <t>The Alienist</t>
  </si>
  <si>
    <t>Caleb Carr</t>
  </si>
  <si>
    <t>Between the World and Me</t>
  </si>
  <si>
    <t>Ta-Nehisi Coates</t>
  </si>
  <si>
    <t>Paradise Lost</t>
  </si>
  <si>
    <t>John Milton, John      Leonard</t>
  </si>
  <si>
    <t>The Big Short: Inside the Doomsday Machine</t>
  </si>
  <si>
    <t>Michael   Lewis</t>
  </si>
  <si>
    <t>The Girl Who Loved Tom Gordon</t>
  </si>
  <si>
    <t xml:space="preserve"> A Monster Calls </t>
  </si>
  <si>
    <t>Patrick Ness, Jim Kay, Siobhan Dowd</t>
  </si>
  <si>
    <t>Towers of Midnight</t>
  </si>
  <si>
    <t>The Day of the Jackal</t>
  </si>
  <si>
    <t>Frederick Forsyth</t>
  </si>
  <si>
    <t>Rework</t>
  </si>
  <si>
    <t>Jason Fried, David Heinemeier Hansson</t>
  </si>
  <si>
    <t>Attachments</t>
  </si>
  <si>
    <t>The Twilight Saga</t>
  </si>
  <si>
    <t>Stephenie Meyer, Ilyana Kadushin, Matt Walters</t>
  </si>
  <si>
    <t>Tell the Wolves I'm Home</t>
  </si>
  <si>
    <t>Carol Rifka Brunt</t>
  </si>
  <si>
    <t>All Creatures Great And Small</t>
  </si>
  <si>
    <t>James Herriot</t>
  </si>
  <si>
    <t>The Unbecoming of Mara Dyer</t>
  </si>
  <si>
    <t>Michelle Hodkin</t>
  </si>
  <si>
    <t>Three to Get Deadly</t>
  </si>
  <si>
    <t>The Scarlet Pimpernel</t>
  </si>
  <si>
    <t>Emmuska Orczy</t>
  </si>
  <si>
    <t>The Monster at the End of This Book</t>
  </si>
  <si>
    <t>Jon Stone, Michael J. Smollin</t>
  </si>
  <si>
    <t>Tales of a Fourth Grade Nothing</t>
  </si>
  <si>
    <t>Shadow and Bone</t>
  </si>
  <si>
    <t>Leigh Bardugo</t>
  </si>
  <si>
    <t>Het diner</t>
  </si>
  <si>
    <t>Herman Koch, Sam Garrett</t>
  </si>
  <si>
    <t>Champion</t>
  </si>
  <si>
    <t>Contact</t>
  </si>
  <si>
    <t>Carl Sagan</t>
  </si>
  <si>
    <t>Lola and the Boy Next Door</t>
  </si>
  <si>
    <t>Stephanie Perkins</t>
  </si>
  <si>
    <t>White Teeth</t>
  </si>
  <si>
    <t>Zadie Smith</t>
  </si>
  <si>
    <t>American Sniper: The Autobiography of the Most Lethal Sniper in U.S. Military History</t>
  </si>
  <si>
    <t>Chris Kyle, Scott McEwen, Jim DeFelice</t>
  </si>
  <si>
    <t>My Horizontal Life: A Collection of One-Night Stands</t>
  </si>
  <si>
    <t>The Power of Six</t>
  </si>
  <si>
    <t>Pittacus Lore</t>
  </si>
  <si>
    <t>The Interestings</t>
  </si>
  <si>
    <t>Meg Wolitzer</t>
  </si>
  <si>
    <t>The Essential Calvin and Hobbes: A Calvin and Hobbes Treasury</t>
  </si>
  <si>
    <t>Bill Watterson</t>
  </si>
  <si>
    <t>People of the Book</t>
  </si>
  <si>
    <t>The Secret Keeper</t>
  </si>
  <si>
    <t>Better Homes &amp; Gardens New Cook Book</t>
  </si>
  <si>
    <t>Better Homes and Gardens</t>
  </si>
  <si>
    <t>So Long, and Thanks for All the Fish</t>
  </si>
  <si>
    <t>Der Steppenwolf: ErzÃ¤hlung</t>
  </si>
  <si>
    <t>Hermann Hesse, Basil Creighton</t>
  </si>
  <si>
    <t>The Surgeon</t>
  </si>
  <si>
    <t>Tess Gerritsen</t>
  </si>
  <si>
    <t>The Girl You Left Behind</t>
  </si>
  <si>
    <t>Royal Assassin</t>
  </si>
  <si>
    <t>Childhood's End</t>
  </si>
  <si>
    <t xml:space="preserve"> The Tale of Despereaux</t>
  </si>
  <si>
    <t>Kate DiCamillo, Timothy Basil Ering</t>
  </si>
  <si>
    <t>Animal, Vegetable, Miracle: A Year of Food Life</t>
  </si>
  <si>
    <t>Barbara Kingsolver, Steven L. Hopp, Camille Kingsolver, Richard A. Houser</t>
  </si>
  <si>
    <t>Heir of Fire</t>
  </si>
  <si>
    <t>The Sweetness at the Bottom of the Pie</t>
  </si>
  <si>
    <t>Alan Bradley</t>
  </si>
  <si>
    <t>Blue Like Jazz: Nonreligious Thoughts on Christian Spirituality</t>
  </si>
  <si>
    <t>Donald Miller</t>
  </si>
  <si>
    <t>A Breath of Snow and Ashes</t>
  </si>
  <si>
    <t>The Blood of Olympus</t>
  </si>
  <si>
    <t>Truly Madly Guilty</t>
  </si>
  <si>
    <t>Liane Moriarty</t>
  </si>
  <si>
    <t>Saga, Volume One</t>
  </si>
  <si>
    <t>Brian K. Vaughan, Fiona Staples</t>
  </si>
  <si>
    <t>The Art of Fielding</t>
  </si>
  <si>
    <t>Chad Harbach</t>
  </si>
  <si>
    <t>A Moveable Feast</t>
  </si>
  <si>
    <t>Ernest Hemingway</t>
  </si>
  <si>
    <t>Fablehaven</t>
  </si>
  <si>
    <t>Brandon Mull</t>
  </si>
  <si>
    <t>The Wide Window</t>
  </si>
  <si>
    <t>Grave Peril</t>
  </si>
  <si>
    <t>Einstein. His Life and Universe</t>
  </si>
  <si>
    <t>Walter Isaacson</t>
  </si>
  <si>
    <t>Effortless</t>
  </si>
  <si>
    <t>The Street Lawyer</t>
  </si>
  <si>
    <t>Roll of Thunder, Hear My Cry</t>
  </si>
  <si>
    <t>Mildred D. Taylor</t>
  </si>
  <si>
    <t>Pride and Prejudice and Zombies</t>
  </si>
  <si>
    <t>Seth Grahame-Smith, Jane Austen</t>
  </si>
  <si>
    <t>Lets Explore Diabetes with Owls</t>
  </si>
  <si>
    <t>Ð˜Ð´Ð¸Ð¾Ñ‚</t>
  </si>
  <si>
    <t>Fyodor Dostoyevsky, Constance Garnett, Alan Myers, Joseph Frank, Anna Brailovsky</t>
  </si>
  <si>
    <t>Dirk Gently's Holistic Detective Agency</t>
  </si>
  <si>
    <t>Rodrick Rules</t>
  </si>
  <si>
    <t>Jeff Kinney</t>
  </si>
  <si>
    <t>Why Not Me?</t>
  </si>
  <si>
    <t>Mindy Kaling</t>
  </si>
  <si>
    <t>Four: A Divergent Collection</t>
  </si>
  <si>
    <t>Veronica Roth</t>
  </si>
  <si>
    <t>Modern Romance</t>
  </si>
  <si>
    <t>Aziz Ansari, Eric Klinenberg</t>
  </si>
  <si>
    <t>The One and Only Ivan</t>
  </si>
  <si>
    <t>Katherine Applegate, Patricia Castelao</t>
  </si>
  <si>
    <t>The Perfect Storm: A True Story of Men Against the Sea</t>
  </si>
  <si>
    <t>Sebastian Junger</t>
  </si>
  <si>
    <t>Elantris</t>
  </si>
  <si>
    <t>The Knife of Never Letting Go</t>
  </si>
  <si>
    <t>Patrick Ness</t>
  </si>
  <si>
    <t>One Thousand White Women: The Journals of May Dodd</t>
  </si>
  <si>
    <t>Jim Fergus</t>
  </si>
  <si>
    <t>Handle with Care</t>
  </si>
  <si>
    <t>Song of Susannah</t>
  </si>
  <si>
    <t>Stephen King, Darrel Anderson</t>
  </si>
  <si>
    <t>Reached</t>
  </si>
  <si>
    <t>Midnight's Children</t>
  </si>
  <si>
    <t>Salman Rushdie</t>
  </si>
  <si>
    <t>The Zombie Survival Guide: Complete Protection from the Living Dead</t>
  </si>
  <si>
    <t>Max Brooks</t>
  </si>
  <si>
    <t>The Testament</t>
  </si>
  <si>
    <t>Murder at the Vicarage</t>
  </si>
  <si>
    <t xml:space="preserve">Among the Hidden </t>
  </si>
  <si>
    <t>Margaret Peterson Haddix</t>
  </si>
  <si>
    <t>In Defense of Food: An Eater's Manifesto</t>
  </si>
  <si>
    <t>The Witch of Blackbird Pond</t>
  </si>
  <si>
    <t>Elizabeth George Speare</t>
  </si>
  <si>
    <t>The Heir</t>
  </si>
  <si>
    <t>Kiera Cass</t>
  </si>
  <si>
    <t>Shopaholic Ties the Knot</t>
  </si>
  <si>
    <t>The Woman in White</t>
  </si>
  <si>
    <t>Wilkie Collins, Matthew Sweet</t>
  </si>
  <si>
    <t>Career of Evil</t>
  </si>
  <si>
    <t>The Summer I Turned Pretty</t>
  </si>
  <si>
    <t xml:space="preserve">Four to Score </t>
  </si>
  <si>
    <t>The Color of Water: A Black Man's Tribute to His White Mother</t>
  </si>
  <si>
    <t>James McBride</t>
  </si>
  <si>
    <t>SuperFreakonomics: Global Cooling, Patriotic Prostitutes, and Why Suicide Bombers Should Buy Life Insurance</t>
  </si>
  <si>
    <t>Steven D. Levitt, Stephen J. Dubner</t>
  </si>
  <si>
    <t>Darkfever</t>
  </si>
  <si>
    <t>Karen Marie Moning</t>
  </si>
  <si>
    <t>Stone of Tears</t>
  </si>
  <si>
    <t>Terry Goodkind</t>
  </si>
  <si>
    <t>Heart of the Matter</t>
  </si>
  <si>
    <t>Vanity Fair: A Novel Without a Hero</t>
  </si>
  <si>
    <t>William Makepeace Thackeray, John Carey</t>
  </si>
  <si>
    <t>The Sirens of Titan</t>
  </si>
  <si>
    <t>Kurt Vonnegut Jr.</t>
  </si>
  <si>
    <t>Dolores Claiborne</t>
  </si>
  <si>
    <t>Stephen King, Dominique Dill</t>
  </si>
  <si>
    <t>The Nest</t>
  </si>
  <si>
    <t>Cynthia D'Aprix Sweeney</t>
  </si>
  <si>
    <t>Fables, Volume 1: Legends in Exile</t>
  </si>
  <si>
    <t>Bill Willingham, Lan Medina, Steve Leialoha, Craig Hamilton, James Jean</t>
  </si>
  <si>
    <t>Getting Things Done: How To Achieve Stress-free Productivity</t>
  </si>
  <si>
    <t>David    Allen</t>
  </si>
  <si>
    <t>The Celestine Prophecy</t>
  </si>
  <si>
    <t>James Redfield</t>
  </si>
  <si>
    <t xml:space="preserve">My Life Next Door </t>
  </si>
  <si>
    <t>Huntley Fitzpatrick</t>
  </si>
  <si>
    <t>Winter of the World</t>
  </si>
  <si>
    <t>è‰²å½©ã‚’æŒãŸãªã„å¤šå´Žã¤ãã‚‹ã¨ã€å½¼ã®å·¡ç¤¼ã®å¹´ [Shikisai o motanai Tazaki Tsukuru to, kare no junrei no toshi]</t>
  </si>
  <si>
    <t>Haruki Murakami, Philip Gabriel</t>
  </si>
  <si>
    <t>Lucky</t>
  </si>
  <si>
    <t>Alice Sebold</t>
  </si>
  <si>
    <t xml:space="preserve">To The Lighthouse </t>
  </si>
  <si>
    <t>Virginia Woolf</t>
  </si>
  <si>
    <t>Five Point Someone: What Not to Do at IIT</t>
  </si>
  <si>
    <t>Chetan Bhagat</t>
  </si>
  <si>
    <t>Guilty Pleasures</t>
  </si>
  <si>
    <t>Laurell K. Hamilton</t>
  </si>
  <si>
    <t>The Messenger</t>
  </si>
  <si>
    <t>Markus Zusak</t>
  </si>
  <si>
    <t>Far from the Madding Crowd</t>
  </si>
  <si>
    <t>Thomas Hardy, Rosemarie Morgan, Shannon Russell</t>
  </si>
  <si>
    <t>Equal Rites</t>
  </si>
  <si>
    <t>House of Leaves</t>
  </si>
  <si>
    <t>Mark Z. Danielewski</t>
  </si>
  <si>
    <t>Cruel &amp; Unusual</t>
  </si>
  <si>
    <t>Patricia Cornwell</t>
  </si>
  <si>
    <t>nl</t>
  </si>
  <si>
    <t>Sycamore Row</t>
  </si>
  <si>
    <t>Awakened</t>
  </si>
  <si>
    <t>My Ãntonia</t>
  </si>
  <si>
    <t>Willa Cather</t>
  </si>
  <si>
    <t>Life As We Knew It</t>
  </si>
  <si>
    <t>Susan Beth Pfeffer</t>
  </si>
  <si>
    <t>America (The Book): A Citizen's Guide to Democracy Inaction</t>
  </si>
  <si>
    <t>Jon Stewart, Ben Karlin, David Javerbaum, Rich Bloomquist, Steve Bodow, Tim Carvell, Eric Drysdale, J.R. Havlan, Scott Jacobson, Tom Johnson, Rob Kutner, Chris Regan, Jason Reich, Jason Ross, Stephen Colbert, Samantha Bee, Rob Corddry, Brendan Hay, Ed Helms</t>
  </si>
  <si>
    <t>90 Minutes in Heaven</t>
  </si>
  <si>
    <t>Don Piper, Cecil Murphey</t>
  </si>
  <si>
    <t>The Longest Ride</t>
  </si>
  <si>
    <t>é“å¾·ç¶“ [dÃ o dÃ© jÄ«ng]</t>
  </si>
  <si>
    <t>Lao Tzu, Gia-Fu Feng, Jane English, Chungliang Al Huang, Rowena Pattee Kryder, Toinette Lippe</t>
  </si>
  <si>
    <t>Kane and Abel</t>
  </si>
  <si>
    <t>Jeffrey Archer</t>
  </si>
  <si>
    <t>Change of Heart</t>
  </si>
  <si>
    <t>Dry: A Memoir</t>
  </si>
  <si>
    <t>Augusten Burroughs</t>
  </si>
  <si>
    <t>Sam's Letters To Jennifer</t>
  </si>
  <si>
    <t>Grey</t>
  </si>
  <si>
    <t xml:space="preserve">Dune Messiah </t>
  </si>
  <si>
    <t>Frank Herbert</t>
  </si>
  <si>
    <t>The Great Divorce</t>
  </si>
  <si>
    <t>Little Earthquakes</t>
  </si>
  <si>
    <t>Jennifer Weiner</t>
  </si>
  <si>
    <t>Eventyr og historier</t>
  </si>
  <si>
    <t>Hans Christian Andersen, Lily Owens, Arthur Rackham, Hans Richter</t>
  </si>
  <si>
    <t>New Moon: The Complete Illustrated Movie Companion</t>
  </si>
  <si>
    <t>Maybe Someday</t>
  </si>
  <si>
    <t>Mr Maybe</t>
  </si>
  <si>
    <t>Anne of the Island</t>
  </si>
  <si>
    <t>Also sprach Zarathustra</t>
  </si>
  <si>
    <t>Friedrich Nietzsche, Walter Kaufmann</t>
  </si>
  <si>
    <t>North and South</t>
  </si>
  <si>
    <t>Elizabeth Gaskell, Alan Shelston</t>
  </si>
  <si>
    <t>A Stolen Life</t>
  </si>
  <si>
    <t>Jaycee Dugard</t>
  </si>
  <si>
    <t>The Immortals of Meluha</t>
  </si>
  <si>
    <t>Amish Tripathi</t>
  </si>
  <si>
    <t>The Lost World</t>
  </si>
  <si>
    <t>Requiem</t>
  </si>
  <si>
    <t>Lauren Oliver</t>
  </si>
  <si>
    <t>A Crown of Swords</t>
  </si>
  <si>
    <t>Aesopica</t>
  </si>
  <si>
    <t>Aesop, Laura Harris, Laura Gibbs</t>
  </si>
  <si>
    <t>Blood Meridian: Or the Evening Redness in the West</t>
  </si>
  <si>
    <t>Finale</t>
  </si>
  <si>
    <t>Skeleton Crew</t>
  </si>
  <si>
    <t>Lullaby</t>
  </si>
  <si>
    <t>Two States</t>
  </si>
  <si>
    <t>ãƒ´ã‚¡ãƒ³ãƒ‘ã‚¤ã‚¢é¨Žå£« 1</t>
  </si>
  <si>
    <t>Matsuri Hino, Tomo Kimura</t>
  </si>
  <si>
    <t>Summer Knight</t>
  </si>
  <si>
    <t>Dragonflight</t>
  </si>
  <si>
    <t>Anne McCaffrey, Teodor PanasiÅ„ski</t>
  </si>
  <si>
    <t>The History of the Hobbit, Part One: Mr. Baggins</t>
  </si>
  <si>
    <t>John D. Rateliff, J.R.R. Tolkien</t>
  </si>
  <si>
    <t>Ugly Love</t>
  </si>
  <si>
    <t>Chocolat</t>
  </si>
  <si>
    <t>Joanne Harris</t>
  </si>
  <si>
    <t>The Amityville Horror</t>
  </si>
  <si>
    <t>Jay Anson</t>
  </si>
  <si>
    <t>The English Patient</t>
  </si>
  <si>
    <t>Michael Ondaatje</t>
  </si>
  <si>
    <t>Gabriel's Rapture</t>
  </si>
  <si>
    <t>Dubliners</t>
  </si>
  <si>
    <t>James Joyce, Jeri Johnson</t>
  </si>
  <si>
    <t>Let the Great World Spin</t>
  </si>
  <si>
    <t>Colum McCann</t>
  </si>
  <si>
    <t>The Eternity Code</t>
  </si>
  <si>
    <t>Tell No One</t>
  </si>
  <si>
    <t>Harlan Coben</t>
  </si>
  <si>
    <t>The Tommyknockers</t>
  </si>
  <si>
    <t>Hex Hall</t>
  </si>
  <si>
    <t>Rachel Hawkins</t>
  </si>
  <si>
    <t>Steal Like an Artist</t>
  </si>
  <si>
    <t>Austin Kleon</t>
  </si>
  <si>
    <t>Cryptonomicon</t>
  </si>
  <si>
    <t>Neal Stephenson</t>
  </si>
  <si>
    <t>Beautiful Bastard</t>
  </si>
  <si>
    <t>Christina Lauren</t>
  </si>
  <si>
    <t>Prodigal Summer</t>
  </si>
  <si>
    <t>We Were the Mulvaneys</t>
  </si>
  <si>
    <t>Joyce Carol Oates</t>
  </si>
  <si>
    <t>Understanding Comics: The Invisible Art</t>
  </si>
  <si>
    <t>Scott McCloud</t>
  </si>
  <si>
    <t>Beautiful Darkness</t>
  </si>
  <si>
    <t>Kami Garcia, Margaret Stohl</t>
  </si>
  <si>
    <t>The Psychopath Test</t>
  </si>
  <si>
    <t>Jon Ronson</t>
  </si>
  <si>
    <t>Vanishing Acts</t>
  </si>
  <si>
    <t>Absolute Power</t>
  </si>
  <si>
    <t>David Baldacci</t>
  </si>
  <si>
    <t>Hot Six</t>
  </si>
  <si>
    <t>The Time Keeper</t>
  </si>
  <si>
    <t>A Dirty Job</t>
  </si>
  <si>
    <t>Moneyball: The Art of Winning an Unfair Game</t>
  </si>
  <si>
    <t>The Amulet of Samarkand</t>
  </si>
  <si>
    <t>Jonathan Stroud</t>
  </si>
  <si>
    <t>I Am America (And So Can You!)</t>
  </si>
  <si>
    <t>Stephen Colbert, Richard Dahm, Paul Dinello, Allison Silverman, Michael Brumm, Eric Drydale, Rob Dubbin, Glenn Eichler, Peter Grosz, Peter Gwinn, Jay Katsir, Laura Krafft, Frank Lesser, Tom Purcell</t>
  </si>
  <si>
    <t>The One Minute Manager</t>
  </si>
  <si>
    <t>Kenneth H. Blanchard, Spencer Johnson</t>
  </si>
  <si>
    <t>Exodus</t>
  </si>
  <si>
    <t>Leon Uris</t>
  </si>
  <si>
    <t>Stones from the River</t>
  </si>
  <si>
    <t>Ursula Hegi</t>
  </si>
  <si>
    <t>The Big Sleep</t>
  </si>
  <si>
    <t>Raymond Chandler</t>
  </si>
  <si>
    <t xml:space="preserve">Cannery Row </t>
  </si>
  <si>
    <t>Seriously...I'm Kidding</t>
  </si>
  <si>
    <t>Ellen DeGeneres</t>
  </si>
  <si>
    <t>The Miserable Mill</t>
  </si>
  <si>
    <t>The Snow Child</t>
  </si>
  <si>
    <t>Eowyn Ivey</t>
  </si>
  <si>
    <t>Wait for You</t>
  </si>
  <si>
    <t>J. Lynn, Jennifer L. Armentrout</t>
  </si>
  <si>
    <t>The Last Straw</t>
  </si>
  <si>
    <t>La Divina Commedia</t>
  </si>
  <si>
    <t>Dante Alighieri, Allen Mandelbaum, Eugenio Montale</t>
  </si>
  <si>
    <t>The Tao of Pooh</t>
  </si>
  <si>
    <t>Benjamin Hoff, Ernest H. Shepard</t>
  </si>
  <si>
    <t>Onyx</t>
  </si>
  <si>
    <t>Unravel Me (Shatter Me, #2)</t>
  </si>
  <si>
    <t>The Birth of Venus</t>
  </si>
  <si>
    <t>Sarah Dunant</t>
  </si>
  <si>
    <t>The Opal Deception</t>
  </si>
  <si>
    <t>Det som inte dÃ¶dar oss</t>
  </si>
  <si>
    <t>David Lagercrantz, Stieg Larsson, George Goulding</t>
  </si>
  <si>
    <t>The Girls</t>
  </si>
  <si>
    <t>Emma Cline</t>
  </si>
  <si>
    <t>The Goose Girl</t>
  </si>
  <si>
    <t>Shannon Hale</t>
  </si>
  <si>
    <t>Mystic River</t>
  </si>
  <si>
    <t>Warm Bodies</t>
  </si>
  <si>
    <t>Isaac Marion</t>
  </si>
  <si>
    <t>The Prince and the Pauper</t>
  </si>
  <si>
    <t>Mark Twain, Everett H. Emerson</t>
  </si>
  <si>
    <t>The Moon is a Harsh Mistress</t>
  </si>
  <si>
    <t>The Forty Rules of Love</t>
  </si>
  <si>
    <t>Elif Shafak, Ø¥Ù„ÙŠÙ Ø´Ø§ÙØ§Ù‚, Ø§Ø±Ø³Ù„Ø§Ù† ÙØµÛŒØ­ÛŒ, Ù…Ø­Ù…Ø¯ Ø¯Ø±ÙˆÙŠØ´</t>
  </si>
  <si>
    <t>High Five</t>
  </si>
  <si>
    <t>Joyland</t>
  </si>
  <si>
    <t>é€²æ’ƒã®å·¨äºº 1</t>
  </si>
  <si>
    <t>Hajime Isayama, Sheldon Drzka</t>
  </si>
  <si>
    <t>Tender Is the Night</t>
  </si>
  <si>
    <t>F. Scott Fitzgerald</t>
  </si>
  <si>
    <t>Cold Sassy Tree</t>
  </si>
  <si>
    <t>Olive Ann Burns</t>
  </si>
  <si>
    <t>The Glass Menagerie</t>
  </si>
  <si>
    <t>Tennessee Williams</t>
  </si>
  <si>
    <t>L'amica geniale</t>
  </si>
  <si>
    <t>Elena Ferrante, Ann Goldstein</t>
  </si>
  <si>
    <t>The 4-Hour Workweek: Escape 9-5, Live Anywhere, and Join the New Rich</t>
  </si>
  <si>
    <t>Timothy Ferriss</t>
  </si>
  <si>
    <t>The Monk Who Sold His Ferrari: A Fable About Fulfilling Your Dreams &amp; Reaching Your Destiny</t>
  </si>
  <si>
    <t>Robin S. Sharma</t>
  </si>
  <si>
    <t>Rules of Civility</t>
  </si>
  <si>
    <t>Amor Towles</t>
  </si>
  <si>
    <t>Ringworld</t>
  </si>
  <si>
    <t>Larry Niven</t>
  </si>
  <si>
    <t>Between Shades of Gray</t>
  </si>
  <si>
    <t>Ruta Sepetys</t>
  </si>
  <si>
    <t>Frindle</t>
  </si>
  <si>
    <t>Andrew Clements, Brian Selznick</t>
  </si>
  <si>
    <t>Dog Days</t>
  </si>
  <si>
    <t>The Round House</t>
  </si>
  <si>
    <t>Louise Erdrich</t>
  </si>
  <si>
    <t>A Wind in the Door</t>
  </si>
  <si>
    <t>Madeleine L'Engle</t>
  </si>
  <si>
    <t>Free Four: Tobias Tells the Divergent Story</t>
  </si>
  <si>
    <t>A Little Life</t>
  </si>
  <si>
    <t>Hanya Yanagihara</t>
  </si>
  <si>
    <t>Y: The Last Man, Vol. 1: Unmanned</t>
  </si>
  <si>
    <t>Brian K. Vaughan, Pia Guerra, JosÃ© MarzÃ¡n Jr.</t>
  </si>
  <si>
    <t>The Alloy of Law</t>
  </si>
  <si>
    <t>Dead Reckoning</t>
  </si>
  <si>
    <t>The Accidental Tourist</t>
  </si>
  <si>
    <t>Anne Tyler, Jennifer Bassett</t>
  </si>
  <si>
    <t>Aristotle and Dante Discover the Secrets of the Universe</t>
  </si>
  <si>
    <t>Benjamin Alire SÃ¡enz</t>
  </si>
  <si>
    <t>The Invisible Man</t>
  </si>
  <si>
    <t>H.G. Wells</t>
  </si>
  <si>
    <t>ä¸–ç•Œã®çµ‚ã‚Šã¨ãƒãƒ¼ãƒ‰ãƒœã‚¤ãƒ«ãƒ‰ãƒ»ãƒ¯ãƒ³ãƒ€ãƒ¼ãƒ©ãƒ³ãƒ‰ [Sekai no owari to hÄdoboirudo wandÄrando]</t>
  </si>
  <si>
    <t>Haruki Murakami, Alfred Birnbaum</t>
  </si>
  <si>
    <t>Na margem do rio Piedra eu sentei e chorei</t>
  </si>
  <si>
    <t>Paulo Coelho, Alan R. Clarke</t>
  </si>
  <si>
    <t>Der Schweizerische Robinson</t>
  </si>
  <si>
    <t>Johann David Wyss, Scott McKowen, Arthur Pober</t>
  </si>
  <si>
    <t>Four Past Midnight</t>
  </si>
  <si>
    <t>The Marriage Bargain</t>
  </si>
  <si>
    <t>Jennifer Probst</t>
  </si>
  <si>
    <t>Anne of Avonlea</t>
  </si>
  <si>
    <t>The Little Engine That Could</t>
  </si>
  <si>
    <t>Watty Piper, Doris Hauman, George Hauman</t>
  </si>
  <si>
    <t>We Are All Completely Beside Ourselves</t>
  </si>
  <si>
    <t>Karen Joy Fowler</t>
  </si>
  <si>
    <t>Children of the Mind</t>
  </si>
  <si>
    <t>Ulysses</t>
  </si>
  <si>
    <t>James Joyce</t>
  </si>
  <si>
    <t>Someone Like You</t>
  </si>
  <si>
    <t>Moloka'i</t>
  </si>
  <si>
    <t>Alan Brennert</t>
  </si>
  <si>
    <t>The Witching Hour</t>
  </si>
  <si>
    <t>This Present Darkness</t>
  </si>
  <si>
    <t>Frank E. Peretti</t>
  </si>
  <si>
    <t>The Coincidence of Callie &amp; Kayden</t>
  </si>
  <si>
    <t>Jessica Sorensen</t>
  </si>
  <si>
    <t>Fates and Furies</t>
  </si>
  <si>
    <t>Lauren Groff</t>
  </si>
  <si>
    <t>Summer Sisters</t>
  </si>
  <si>
    <t>Stuart Little</t>
  </si>
  <si>
    <t>E.B. White, Garth Williams</t>
  </si>
  <si>
    <t>The Foundation Trilogy</t>
  </si>
  <si>
    <t>The Elegant Universe: Superstrings, Hidden Dimensions, and the Quest for the Ultimate Theory</t>
  </si>
  <si>
    <t>Brian Greene</t>
  </si>
  <si>
    <t>The Austere Academy</t>
  </si>
  <si>
    <t>Seven Up</t>
  </si>
  <si>
    <t>Death Masks</t>
  </si>
  <si>
    <t>Stellaluna</t>
  </si>
  <si>
    <t>Janell Cannon</t>
  </si>
  <si>
    <t>Before They Are Hanged</t>
  </si>
  <si>
    <t>Loving Frank</t>
  </si>
  <si>
    <t>Nancy Horan</t>
  </si>
  <si>
    <t>Hard Eight</t>
  </si>
  <si>
    <t>Janet Evanovich, Lorelei King</t>
  </si>
  <si>
    <t>The Vile Village</t>
  </si>
  <si>
    <t>Sybil</t>
  </si>
  <si>
    <t>Flora Rheta Schreiber</t>
  </si>
  <si>
    <t>Cosmos</t>
  </si>
  <si>
    <t>Haunted: A Novel of Stories</t>
  </si>
  <si>
    <t>The Shell Seekers</t>
  </si>
  <si>
    <t>Rosamunde Pilcher</t>
  </si>
  <si>
    <t>What Is the What: The Autobiography of Valentino Achak Deng</t>
  </si>
  <si>
    <t>CrÃ³nica de una muerte anunciada</t>
  </si>
  <si>
    <t>Gabriel GarcÃ­a MÃ¡rquez, Gregory Rabassa</t>
  </si>
  <si>
    <t>A Scandal in Bohemia</t>
  </si>
  <si>
    <t>Ronald Holt, Arthur Conan Doyle</t>
  </si>
  <si>
    <t>Killing Lincoln: The Shocking Assassination that Changed America Forever</t>
  </si>
  <si>
    <t>Bill O'Reilly, Martin Dugard</t>
  </si>
  <si>
    <t>The Lowland</t>
  </si>
  <si>
    <t>The Ruins of Gorlan</t>
  </si>
  <si>
    <t>John Flanagan</t>
  </si>
  <si>
    <t>Wintergirls</t>
  </si>
  <si>
    <t>Laurie Halse Anderson</t>
  </si>
  <si>
    <t>The Brethren</t>
  </si>
  <si>
    <t>Assassin's Quest</t>
  </si>
  <si>
    <t>Rosemary's Baby</t>
  </si>
  <si>
    <t>Ira Levin</t>
  </si>
  <si>
    <t>The Talisman</t>
  </si>
  <si>
    <t>Stephen King, Peter Straub</t>
  </si>
  <si>
    <t>The Path of Daggers</t>
  </si>
  <si>
    <t>The Dharma Bums</t>
  </si>
  <si>
    <t>Jack Kerouac</t>
  </si>
  <si>
    <t>The Reckoning</t>
  </si>
  <si>
    <t>Behind the Beautiful Forevers: Life, Death, and Hope in a Mumbai Undercity</t>
  </si>
  <si>
    <t>Katherine Boo</t>
  </si>
  <si>
    <t>Mary Poppins</t>
  </si>
  <si>
    <t>P.L. Travers, Mary Shepard</t>
  </si>
  <si>
    <t>Red Seas Under Red Skies</t>
  </si>
  <si>
    <t>The House on Mango Street</t>
  </si>
  <si>
    <t>Sandra Cisneros</t>
  </si>
  <si>
    <t>City of Thieves</t>
  </si>
  <si>
    <t>David Benioff</t>
  </si>
  <si>
    <t>Halfway to the Grave</t>
  </si>
  <si>
    <t>Jeaniene Frost</t>
  </si>
  <si>
    <t>The Twits</t>
  </si>
  <si>
    <t>Roald Dahl, Quentin Blake</t>
  </si>
  <si>
    <t>Abhorsen</t>
  </si>
  <si>
    <t>The Beach House</t>
  </si>
  <si>
    <t>James Patterson, Peter de Jonge</t>
  </si>
  <si>
    <t>Eyes of the Dragon</t>
  </si>
  <si>
    <t>Children of Dune</t>
  </si>
  <si>
    <t>Leviathan Wakes</t>
  </si>
  <si>
    <t>James S.A. Corey</t>
  </si>
  <si>
    <t>Queen of Shadows</t>
  </si>
  <si>
    <t xml:space="preserve">Maus II : And Here My Troubles Began </t>
  </si>
  <si>
    <t>Art Spiegelman</t>
  </si>
  <si>
    <t>The Snowy Day</t>
  </si>
  <si>
    <t>Ezra Jack Keats</t>
  </si>
  <si>
    <t>To the Nines</t>
  </si>
  <si>
    <t>Where We Belong</t>
  </si>
  <si>
    <t>The Hot Zone: The Terrifying True Story of the Origins of the Ebola Virus</t>
  </si>
  <si>
    <t>Richard   Preston</t>
  </si>
  <si>
    <t>ã‚¹ãƒ—ãƒ¼ãƒˆãƒ‹ã‚¯ã®æ‹äºº [SupÅ«toniku no Koibito]</t>
  </si>
  <si>
    <t>The Signature of All Things</t>
  </si>
  <si>
    <t>Elizabeth Gilbert</t>
  </si>
  <si>
    <t>Eats, Shoots and Leaves</t>
  </si>
  <si>
    <t>Lynne Truss</t>
  </si>
  <si>
    <t>Dead Witch Walking</t>
  </si>
  <si>
    <t>Kim Harrison</t>
  </si>
  <si>
    <t>An Echo in the Bone</t>
  </si>
  <si>
    <t>Clement C. Moore, Jan Brett</t>
  </si>
  <si>
    <t>Unearthly</t>
  </si>
  <si>
    <t>Cynthia Hand</t>
  </si>
  <si>
    <t>The Case for Christ</t>
  </si>
  <si>
    <t>Lee Strobel</t>
  </si>
  <si>
    <t>Knife of Dreams</t>
  </si>
  <si>
    <t>Hoot</t>
  </si>
  <si>
    <t>Carl Hiaasen</t>
  </si>
  <si>
    <t>Ã†neis</t>
  </si>
  <si>
    <t>Virgil, Robert Fitzgerald</t>
  </si>
  <si>
    <t>This is How You Lose Her</t>
  </si>
  <si>
    <t>Junot DÃ­az</t>
  </si>
  <si>
    <t>ã‚¢ãƒ•ã‚¿ãƒ¼ãƒ€ãƒ¼ã‚¯ [AfutÄ dÄku]</t>
  </si>
  <si>
    <t>Haruki Murakami, Jay Rubin</t>
  </si>
  <si>
    <t>Ishmael: An Adventure of the Mind and Spirit</t>
  </si>
  <si>
    <t>Daniel Quinn</t>
  </si>
  <si>
    <t>It's Not Summer Without You</t>
  </si>
  <si>
    <t>Pushing the Limits</t>
  </si>
  <si>
    <t>Katie McGarry</t>
  </si>
  <si>
    <t>Quidditch Through the Ages</t>
  </si>
  <si>
    <t>Kennilworthy Whisp, J.K. Rowling</t>
  </si>
  <si>
    <t>Miss Nelson Is Missing!</t>
  </si>
  <si>
    <t>Harry Allard, James  Marshall</t>
  </si>
  <si>
    <t>The Long Walk</t>
  </si>
  <si>
    <t>The Ersatz Elevator</t>
  </si>
  <si>
    <t xml:space="preserve">Messenger </t>
  </si>
  <si>
    <t>Lover Revealed</t>
  </si>
  <si>
    <t>'Salem's Lot The Illustrated Edition</t>
  </si>
  <si>
    <t>Stephen King, Jerry N. Uelsmann</t>
  </si>
  <si>
    <t>The Mysterious Benedict Society</t>
  </si>
  <si>
    <t>Trenton Lee Stewart, Carson Ellis</t>
  </si>
  <si>
    <t>God is Not Great: How Religion Poisons Everything</t>
  </si>
  <si>
    <t>Christopher Hitchens</t>
  </si>
  <si>
    <t>Never Too Far (Too Far, #2)</t>
  </si>
  <si>
    <t>State of Fear</t>
  </si>
  <si>
    <t>The Statistical Probability of Love at First Sight</t>
  </si>
  <si>
    <t>Jennifer E. Smith</t>
  </si>
  <si>
    <t>The Golem's Eye</t>
  </si>
  <si>
    <t>Still Life with Woodpecker</t>
  </si>
  <si>
    <t>Tom Robbins</t>
  </si>
  <si>
    <t>Those Who Save Us</t>
  </si>
  <si>
    <t>Jenna Blum</t>
  </si>
  <si>
    <t>The Broker</t>
  </si>
  <si>
    <t>Across the Universe</t>
  </si>
  <si>
    <t>Beth Revis</t>
  </si>
  <si>
    <t>The Road Less Traveled:  A New Psychology of Love, Traditional Values, and Spiritual Growth</t>
  </si>
  <si>
    <t>M. Scott Peck</t>
  </si>
  <si>
    <t>Blood Rites</t>
  </si>
  <si>
    <t>The Boxcar Children</t>
  </si>
  <si>
    <t>Gertrude Chandler Warner, L. Kate Deal</t>
  </si>
  <si>
    <t>The Silent Wife</t>
  </si>
  <si>
    <t>A.S.A. Harrison</t>
  </si>
  <si>
    <t>How to Be a Woman</t>
  </si>
  <si>
    <t>Caitlin Moran</t>
  </si>
  <si>
    <t>A Court of Mist and Fury</t>
  </si>
  <si>
    <t>Life</t>
  </si>
  <si>
    <t>Keith Richards</t>
  </si>
  <si>
    <t>Unaccustomed Earth</t>
  </si>
  <si>
    <t>The Pilot's Wife</t>
  </si>
  <si>
    <t>Anita Shreve</t>
  </si>
  <si>
    <t>White Noise</t>
  </si>
  <si>
    <t>Don DeLillo</t>
  </si>
  <si>
    <t>Band of Brothers: E Company, 506th Regiment, 101st Airborne from Normandy to Hitler's Eagle's Nest</t>
  </si>
  <si>
    <t>Stephen E. Ambrose</t>
  </si>
  <si>
    <t>On the Origin of Species by Means of Natural Selection or the Preservation of Favoured Races in the Struggle for Life</t>
  </si>
  <si>
    <t>Charles Darwin</t>
  </si>
  <si>
    <t>Blankets</t>
  </si>
  <si>
    <t>Craig Thompson</t>
  </si>
  <si>
    <t>The Story of Edgar Sawtelle</t>
  </si>
  <si>
    <t>David Wroblewski</t>
  </si>
  <si>
    <t>Drowning Ruth</t>
  </si>
  <si>
    <t>Christina Schwarz</t>
  </si>
  <si>
    <t>Post Office</t>
  </si>
  <si>
    <t>Charles Bukowski</t>
  </si>
  <si>
    <t>All the Pretty Horses</t>
  </si>
  <si>
    <t>Sherlock Holmes: The Complete Novels and Stories, Vol 2</t>
  </si>
  <si>
    <t>Arthur Conan Doyle, Kyle Freeman</t>
  </si>
  <si>
    <t>One Piece, Volume 01</t>
  </si>
  <si>
    <t>EiichirÅ Oda, Andy Nakatani</t>
  </si>
  <si>
    <t>The Last Unicorn</t>
  </si>
  <si>
    <t>Peter S. Beagle</t>
  </si>
  <si>
    <t>Magyk</t>
  </si>
  <si>
    <t>Angie Sage</t>
  </si>
  <si>
    <t>Fever 1793</t>
  </si>
  <si>
    <t>The Likeness</t>
  </si>
  <si>
    <t>Tana French</t>
  </si>
  <si>
    <t>Dead Wake: The Last Crossing of the Lusitania</t>
  </si>
  <si>
    <t>The Jungle Book</t>
  </si>
  <si>
    <t>Rudyard Kipling</t>
  </si>
  <si>
    <t>I Am Pilgrim</t>
  </si>
  <si>
    <t>Terry Hayes</t>
  </si>
  <si>
    <t xml:space="preserve">Howl and Other Poems </t>
  </si>
  <si>
    <t>Allen Ginsberg, William Carlos Williams</t>
  </si>
  <si>
    <t>Don't Sweat the Small Stuff</t>
  </si>
  <si>
    <t>Richard Carlson</t>
  </si>
  <si>
    <t>Go the Fuck to Sleep</t>
  </si>
  <si>
    <t>Adam Mansbach, Ricardo CortÃ©s</t>
  </si>
  <si>
    <t>Mostly Harmless</t>
  </si>
  <si>
    <t>Benjamin Franklin: An American Life</t>
  </si>
  <si>
    <t>The Tiger's Wife</t>
  </si>
  <si>
    <t>TÃ©a Obreht</t>
  </si>
  <si>
    <t>Poison Study</t>
  </si>
  <si>
    <t>Maria V. Snyder</t>
  </si>
  <si>
    <t>Lover Unbound</t>
  </si>
  <si>
    <t>Going Postal</t>
  </si>
  <si>
    <t>The Book of Mormon</t>
  </si>
  <si>
    <t>Anonymous, Joseph Smith Jr.</t>
  </si>
  <si>
    <t>The Mist</t>
  </si>
  <si>
    <t>Dead Beat</t>
  </si>
  <si>
    <t>Golden Son</t>
  </si>
  <si>
    <t>Night Watch</t>
  </si>
  <si>
    <t>The Light Fantastic</t>
  </si>
  <si>
    <t>What the Dog Saw and Other Adventures</t>
  </si>
  <si>
    <t>Pretty Girls</t>
  </si>
  <si>
    <t>Karin Slaughter</t>
  </si>
  <si>
    <t>Last Argument of Kings</t>
  </si>
  <si>
    <t>Revival</t>
  </si>
  <si>
    <t>Horton Hears a Who!</t>
  </si>
  <si>
    <t>The Blind Side: Evolution of a Game</t>
  </si>
  <si>
    <t>Lirael</t>
  </si>
  <si>
    <t>School's Out Forever</t>
  </si>
  <si>
    <t>é»’åŸ·äº‹ I [Kuroshitsuji I]</t>
  </si>
  <si>
    <t>Yana Toboso, Tomo Kimura</t>
  </si>
  <si>
    <t>Winter</t>
  </si>
  <si>
    <t xml:space="preserve">The Strange Case of Dr. Jekyll and Mr. Hyde and Other Tales of Terror </t>
  </si>
  <si>
    <t>Robert Louis Stevenson, Robert Mighall</t>
  </si>
  <si>
    <t>The Painted Man</t>
  </si>
  <si>
    <t>Emily Seife</t>
  </si>
  <si>
    <t>Peter V. Brett</t>
  </si>
  <si>
    <t>One Shot</t>
  </si>
  <si>
    <t>John Bunyan</t>
  </si>
  <si>
    <t>Lee Child</t>
  </si>
  <si>
    <t>The Serpent's Shadow</t>
  </si>
  <si>
    <t>Duma Key</t>
  </si>
  <si>
    <t>The Shifting Fog</t>
  </si>
  <si>
    <t>Proven Guilty</t>
  </si>
  <si>
    <t>Ð—Ð°Ð¿Ð¸ÑÐºÐ¸ Ð¸Ð· Ð¿Ð¾Ð´Ð¿Ð¾Ð»ÑŒÑ</t>
  </si>
  <si>
    <t>Fyodor Dostoyevsky, Andrew R. MacAndrew, Ben Marcus</t>
  </si>
  <si>
    <t>The Heart is a Lonely Hunter</t>
  </si>
  <si>
    <t>Carson McCullers</t>
  </si>
  <si>
    <t>The Infinite Sea</t>
  </si>
  <si>
    <t>Rick Yancey</t>
  </si>
  <si>
    <t>The Once and Future King</t>
  </si>
  <si>
    <t>T.H. White</t>
  </si>
  <si>
    <t>Small Gods</t>
  </si>
  <si>
    <t>Bud, Not Buddy</t>
  </si>
  <si>
    <t>Christopher Paul Curtis</t>
  </si>
  <si>
    <t>Predictably Irrational: The Hidden Forces that Shape Our Decisions</t>
  </si>
  <si>
    <t>Alison Bechdel</t>
  </si>
  <si>
    <t>Dan Ariely</t>
  </si>
  <si>
    <t>Ø§Ù„ÙÙŠÙ„ Ø§Ù„Ø£Ø²Ø±Ù‚</t>
  </si>
  <si>
    <t>Ø£Ø­Ù…Ø¯ Ù…Ø±Ø§Ø¯</t>
  </si>
  <si>
    <t>ara</t>
  </si>
  <si>
    <t>The Indian in the Cupboard</t>
  </si>
  <si>
    <t>Lynne Reid Banks</t>
  </si>
  <si>
    <t>A Memory of Light</t>
  </si>
  <si>
    <t>Me and Earl and the Dying Girl</t>
  </si>
  <si>
    <t>Jesse Andrews</t>
  </si>
  <si>
    <t>The Ugly Truth</t>
  </si>
  <si>
    <t>Janet Evanovich Three and Four Two-Book Set (Stephanie Plum, #3-4)</t>
  </si>
  <si>
    <t>The Surgeon of Crowthorne: a tale of murder, madness &amp; the love of words</t>
  </si>
  <si>
    <t>Simon Winchester</t>
  </si>
  <si>
    <t>2nd Chance</t>
  </si>
  <si>
    <t>James Patterson, Andrew Gross</t>
  </si>
  <si>
    <t>The Complete Maus</t>
  </si>
  <si>
    <t>The Eyre Affair</t>
  </si>
  <si>
    <t>Jasper Fforde</t>
  </si>
  <si>
    <t>Anne Rice's The Vampire Lestat: The Graphic Novel</t>
  </si>
  <si>
    <t>Faye Perozich, Anne Rice, John Bolton, Daerick GrÃ¶ss</t>
  </si>
  <si>
    <t>The Art of Happiness: A Handbook for Living</t>
  </si>
  <si>
    <t>Louis Sachar, Adam McCauley</t>
  </si>
  <si>
    <t>Dalai Lama XIV, Howard C. Cutler</t>
  </si>
  <si>
    <t>The Bone Clocks</t>
  </si>
  <si>
    <t>David Mitchell</t>
  </si>
  <si>
    <t>Black and Blue</t>
  </si>
  <si>
    <t>Anna Quindlen</t>
  </si>
  <si>
    <t>The Last Juror</t>
  </si>
  <si>
    <t>L.J. Smith, Kevin Williamson, Julie Plec</t>
  </si>
  <si>
    <t>Diary</t>
  </si>
  <si>
    <t>Eleven on Top</t>
  </si>
  <si>
    <t>Tintenblut</t>
  </si>
  <si>
    <t>Cornelia Funke, Anthea Bell</t>
  </si>
  <si>
    <t>Sex, Drugs, and Cocoa Puffs: A Low Culture Manifesto</t>
  </si>
  <si>
    <t>Chuck Klosterman</t>
  </si>
  <si>
    <t>Brideshead Revisited: The Sacred and Profane Memories of Captain Charles Ryder</t>
  </si>
  <si>
    <t>Evelyn Waugh</t>
  </si>
  <si>
    <t>White Night</t>
  </si>
  <si>
    <t>The Miniaturist</t>
  </si>
  <si>
    <t>Jessie Burton</t>
  </si>
  <si>
    <t>Dragons of Autumn Twilight</t>
  </si>
  <si>
    <t>Margaret Weis, Tracy Hickman</t>
  </si>
  <si>
    <t>The Lost Colony</t>
  </si>
  <si>
    <t>Extras</t>
  </si>
  <si>
    <t>The Burning Bridge</t>
  </si>
  <si>
    <t>The Book of Life</t>
  </si>
  <si>
    <t>The Artist's Way: A Spiritual Path to Higher Creativity</t>
  </si>
  <si>
    <t>Julia Cameron</t>
  </si>
  <si>
    <t>The Stinky Cheese Man and Other Fairly Stupid Tales</t>
  </si>
  <si>
    <t>Horns</t>
  </si>
  <si>
    <t>Joe Hill</t>
  </si>
  <si>
    <t>Catherine the Great: Portrait of a Woman</t>
  </si>
  <si>
    <t>Robert K. Massie</t>
  </si>
  <si>
    <t>The Year of the Flood</t>
  </si>
  <si>
    <t>Winter Garden</t>
  </si>
  <si>
    <t>The King of Torts</t>
  </si>
  <si>
    <t>Lone Survivor: The Eyewitness Account of Operation Redwing and the Lost Heroes of SEAL Team 10</t>
  </si>
  <si>
    <t>Marcus Luttrell, Patrick Robinson</t>
  </si>
  <si>
    <t>The 3 Mistakes of My Life</t>
  </si>
  <si>
    <t>The Murder of Roger Ackroyd</t>
  </si>
  <si>
    <t xml:space="preserve">Native Son </t>
  </si>
  <si>
    <t>Richard Wright</t>
  </si>
  <si>
    <t>Shadow's Edge</t>
  </si>
  <si>
    <t>Under the Never Sky</t>
  </si>
  <si>
    <t>Veronica Rossi</t>
  </si>
  <si>
    <t>True Believer</t>
  </si>
  <si>
    <t>The Lean Startupâ€Ž</t>
  </si>
  <si>
    <t>Eric Ries</t>
  </si>
  <si>
    <t>The Golden Lily</t>
  </si>
  <si>
    <t>Chasing Harry Winston</t>
  </si>
  <si>
    <t>Lauren Weisberger</t>
  </si>
  <si>
    <t>Magician's Gambit</t>
  </si>
  <si>
    <t>David Eddings</t>
  </si>
  <si>
    <t>The Rise and Fall of the Third Reich: A History of Nazi Germany</t>
  </si>
  <si>
    <t>Roberto Aguirre-Sacasa, Stephen King, Mike Perkins, Laura       Martin</t>
  </si>
  <si>
    <t>William L. Shirer</t>
  </si>
  <si>
    <t>A Long Way Down</t>
  </si>
  <si>
    <t>Out from Boneville</t>
  </si>
  <si>
    <t>Jeff Smith, Steve Hamaker</t>
  </si>
  <si>
    <t>Rose Madder</t>
  </si>
  <si>
    <t>Die Trying (Jack Reacher, #2)</t>
  </si>
  <si>
    <t>Beautiful Chaos</t>
  </si>
  <si>
    <t>Kami Garcia, Margaret Stohl, Paz Pruneda</t>
  </si>
  <si>
    <t>Keeping Faith</t>
  </si>
  <si>
    <t>Heart-Shaped Box</t>
  </si>
  <si>
    <t>Cabin Fever</t>
  </si>
  <si>
    <t>Everyone Worth Knowing</t>
  </si>
  <si>
    <t>Redwall</t>
  </si>
  <si>
    <t>Brian Jacques</t>
  </si>
  <si>
    <t>Manifest der Kommunistischen Partei</t>
  </si>
  <si>
    <t>Karl Marx, Friedrich Engels, Gareth Stedman Jones</t>
  </si>
  <si>
    <t>The Woman in Cabin 10</t>
  </si>
  <si>
    <t>Ruth Ware</t>
  </si>
  <si>
    <t>The Last of the Mohicans: A Narrative of 1757</t>
  </si>
  <si>
    <t>James Fenimore Cooper</t>
  </si>
  <si>
    <t>Sophie's Choice</t>
  </si>
  <si>
    <t>William Styron</t>
  </si>
  <si>
    <t>Shopaholic and Sister</t>
  </si>
  <si>
    <t>The Iron Daughter</t>
  </si>
  <si>
    <t>The Prayer of Jabez:  Breaking Through to the Blessed Life</t>
  </si>
  <si>
    <t>Bruce H. Wilkinson</t>
  </si>
  <si>
    <t>The Age of Miracles</t>
  </si>
  <si>
    <t>Karen Thompson Walker</t>
  </si>
  <si>
    <t>Have a Little Faith: A True Story</t>
  </si>
  <si>
    <t>My Life in France</t>
  </si>
  <si>
    <t>Julia Child, Alex Prud'Homme</t>
  </si>
  <si>
    <t>The Rosie Effect</t>
  </si>
  <si>
    <t>Graeme Simsion</t>
  </si>
  <si>
    <t>The Secret of the Nagas.</t>
  </si>
  <si>
    <t>Ham on Rye</t>
  </si>
  <si>
    <t>Flipped</t>
  </si>
  <si>
    <t>Wendelin Van Draanen</t>
  </si>
  <si>
    <t>Emotional Intelligence 2.0</t>
  </si>
  <si>
    <t>Travis Bradberry, Jean Greaves, Patrick Lencioni</t>
  </si>
  <si>
    <t>Make Way for Ducklings</t>
  </si>
  <si>
    <t>Robert McCloskey</t>
  </si>
  <si>
    <t>Relic</t>
  </si>
  <si>
    <t>Douglas Preston, Lincoln Child</t>
  </si>
  <si>
    <t>Notes from a Small Island</t>
  </si>
  <si>
    <t>Bill Bryson</t>
  </si>
  <si>
    <t>Small Favor</t>
  </si>
  <si>
    <t>The Walking Dead Compendium Volume 1</t>
  </si>
  <si>
    <t>Robert Kirkman</t>
  </si>
  <si>
    <t>Princess Academy</t>
  </si>
  <si>
    <t>Everything, Everything</t>
  </si>
  <si>
    <t>Nicola Yoon, David Yoon</t>
  </si>
  <si>
    <t>Pygmalion</t>
  </si>
  <si>
    <t>George Bernard Shaw</t>
  </si>
  <si>
    <t>Flight Behavior</t>
  </si>
  <si>
    <t>Grip of the Shadow Plague</t>
  </si>
  <si>
    <t>Bridget Jones: The Edge of Reason</t>
  </si>
  <si>
    <t>Helen Fielding</t>
  </si>
  <si>
    <t>Captain Corelli's Mandolin</t>
  </si>
  <si>
    <t>Louis de BerniÃ¨res</t>
  </si>
  <si>
    <t>At First Sight</t>
  </si>
  <si>
    <t>Down Under</t>
  </si>
  <si>
    <t>The Memoirs of Sherlock Holmes</t>
  </si>
  <si>
    <t>The Orphan Master's Son</t>
  </si>
  <si>
    <t>Adam Johnson</t>
  </si>
  <si>
    <t>Enchanters' End Game</t>
  </si>
  <si>
    <t>Marjane Satrapi, Mattias Ripa, Blake Ferris, Anjali Singh</t>
  </si>
  <si>
    <t>The Chosen</t>
  </si>
  <si>
    <t>Chaim Potok</t>
  </si>
  <si>
    <t>The Agony and the Ecstasy: A Biographical Novel of Michelangelo</t>
  </si>
  <si>
    <t>Irving Stone, ×©×ž×•××œ ×©× ×™×¦×¨</t>
  </si>
  <si>
    <t>El juego del Ã¡ngel</t>
  </si>
  <si>
    <t>Carlos Ruiz ZafÃ³n, Lucia Graves</t>
  </si>
  <si>
    <t>Where Rainbows End</t>
  </si>
  <si>
    <t>Cecelia Ahern</t>
  </si>
  <si>
    <t>Amelia Bedelia</t>
  </si>
  <si>
    <t>Peggy Parish, Fritz Siebel</t>
  </si>
  <si>
    <t>This Man</t>
  </si>
  <si>
    <t>Jodi Ellen Malpas</t>
  </si>
  <si>
    <t xml:space="preserve">A Dog's Purpose </t>
  </si>
  <si>
    <t>W. Bruce Cameron</t>
  </si>
  <si>
    <t>An Ember in the Ashes</t>
  </si>
  <si>
    <t>Sabaa Tahir</t>
  </si>
  <si>
    <t>Lover Enshrined, part one</t>
  </si>
  <si>
    <t>The Golem and the Jinni</t>
  </si>
  <si>
    <t>Helene Wecker</t>
  </si>
  <si>
    <t>Ø§Ù„Ø£Ø³ÙˆØ¯ ÙŠÙ„ÙŠÙ‚ Ø¨Ùƒ</t>
  </si>
  <si>
    <t>Ø£Ø­Ù„Ø§Ù… Ù…Ø³ØªØºØ§Ù†Ù…ÙŠ, Ahlam Mosteghanemi</t>
  </si>
  <si>
    <t>The Slippery Slope</t>
  </si>
  <si>
    <t>Bleak House</t>
  </si>
  <si>
    <t>Charles Dickens, Nicola Bradbury, Hablot Knight Browne</t>
  </si>
  <si>
    <t>Caps for sale: a tale of a peddler, some monkeys and their monkey business</t>
  </si>
  <si>
    <t>Esphyr Slobodkina</t>
  </si>
  <si>
    <t xml:space="preserve">Furies of Calderon </t>
  </si>
  <si>
    <t>Alanna: The First Adventure</t>
  </si>
  <si>
    <t>Tamora Pierce</t>
  </si>
  <si>
    <t>Her Fearful Symmetry</t>
  </si>
  <si>
    <t>Audrey Niffenegger</t>
  </si>
  <si>
    <t>The Boston Girl</t>
  </si>
  <si>
    <t>Anita Diamant</t>
  </si>
  <si>
    <t>Lover Enshrined, part two</t>
  </si>
  <si>
    <t>The Fall of Hyperion</t>
  </si>
  <si>
    <t>The Black Dahlia</t>
  </si>
  <si>
    <t>James Ellroy</t>
  </si>
  <si>
    <t>Through the Looking-Glass, and What Alice Found There</t>
  </si>
  <si>
    <t>Lewis Carroll, John Tenniel, Peter Glassman</t>
  </si>
  <si>
    <t>Wild Swans: Three Daughters of China</t>
  </si>
  <si>
    <t>Jung Chang</t>
  </si>
  <si>
    <t>Go, Dog. Go!</t>
  </si>
  <si>
    <t>Finders Keepers</t>
  </si>
  <si>
    <t>The Strain</t>
  </si>
  <si>
    <t>Guillermo del Toro, Chuck Hogan</t>
  </si>
  <si>
    <t>The Complete Poems of Emily Dickinson</t>
  </si>
  <si>
    <t>Emily Dickinson, Thomas H. Johnson</t>
  </si>
  <si>
    <t>Old Yeller</t>
  </si>
  <si>
    <t>Fred Gipson</t>
  </si>
  <si>
    <t>Born Standing Up: A Comic's Life</t>
  </si>
  <si>
    <t>Steve Martin</t>
  </si>
  <si>
    <t>PostSecret: Extraordinary Confessions from Ordinary Lives</t>
  </si>
  <si>
    <t>Frank Warren</t>
  </si>
  <si>
    <t>A Storm of Swords: Part 2 Blood and Gold</t>
  </si>
  <si>
    <t>George R.R. Martin</t>
  </si>
  <si>
    <t>The Borrowers Afield</t>
  </si>
  <si>
    <t>Mary Norton, Beth Krush, Joe Krush</t>
  </si>
  <si>
    <t>Hearts in Atlantis</t>
  </si>
  <si>
    <t>ç¾Šã‚’ã‚ãã‚‹å†’é™º [HitsujiwomegurubÅken]</t>
  </si>
  <si>
    <t>The Queen's Fool</t>
  </si>
  <si>
    <t>Days of Blood &amp; Starlight</t>
  </si>
  <si>
    <t>Jitterbug Perfume</t>
  </si>
  <si>
    <t>The Battle for Skandia (Ranger's Apprentice, #4)</t>
  </si>
  <si>
    <t>The Darkest Minds</t>
  </si>
  <si>
    <t>Alexandra Bracken</t>
  </si>
  <si>
    <t>O Zahir</t>
  </si>
  <si>
    <t>The Power of Positive Thinking</t>
  </si>
  <si>
    <t>Norman Vincent Peale</t>
  </si>
  <si>
    <t xml:space="preserve">In a Dark, Dark Wood </t>
  </si>
  <si>
    <t>The House of Mirth</t>
  </si>
  <si>
    <t>Edith Wharton, Nina Bawden</t>
  </si>
  <si>
    <t>Fairy Tail 1</t>
  </si>
  <si>
    <t>Hiro Mashima, William Flanagan</t>
  </si>
  <si>
    <t>The Slow Regard of Silent Things</t>
  </si>
  <si>
    <t>Patrick Rothfuss, Nate  Taylor</t>
  </si>
  <si>
    <t>Twelve Years a Slave</t>
  </si>
  <si>
    <t>Solomon Northup</t>
  </si>
  <si>
    <t>Lover Avenged, part one</t>
  </si>
  <si>
    <t>In the Heart of the Sea: The Tragedy of the Whaleship Essex</t>
  </si>
  <si>
    <t>Nathaniel Philbrick</t>
  </si>
  <si>
    <t>Infidel</t>
  </si>
  <si>
    <t>Ayaan Hirsi Ali</t>
  </si>
  <si>
    <t>The Black Swan: The Impact of the Highly Improbable</t>
  </si>
  <si>
    <t>Nassim Nicholas Taleb</t>
  </si>
  <si>
    <t>The Twelve</t>
  </si>
  <si>
    <t>ÐžÐ´Ð¸Ð½ Ð´ÐµÐ½ÑŒ Ð˜Ð²Ð°Ð½Ð° Ð”ÐµÐ½Ð¸ÑÐ¾Ð²Ð¸Ñ‡Ð°</t>
  </si>
  <si>
    <t>Aleksandr Solzhenitsyn, H.T. Willetts</t>
  </si>
  <si>
    <t>The Diamond Age</t>
  </si>
  <si>
    <t>A Canticle for Leibowitz</t>
  </si>
  <si>
    <t>Walter M. Miller Jr.</t>
  </si>
  <si>
    <t>á¼ˆÎ½Ï„Î¹Î³ÏŒÎ½Î·</t>
  </si>
  <si>
    <t>Brooklyn</t>
  </si>
  <si>
    <t>Colm TÃ³ibÃ­n</t>
  </si>
  <si>
    <t>Wither</t>
  </si>
  <si>
    <t>Lauren DeStefano</t>
  </si>
  <si>
    <t>Hillbilly Elegy. A Memoir of a Family and Culture in Crisis</t>
  </si>
  <si>
    <t>J.D. Vance</t>
  </si>
  <si>
    <t>Crossroads of Twilight</t>
  </si>
  <si>
    <t>The Red Badge of Courage</t>
  </si>
  <si>
    <t>Stephen Crane</t>
  </si>
  <si>
    <t>What If?: Serious Scientific Answers to Absurd Hypothetical Questions</t>
  </si>
  <si>
    <t>Randall Munroe</t>
  </si>
  <si>
    <t>Gardens of the Moon</t>
  </si>
  <si>
    <t>Steven Erikson</t>
  </si>
  <si>
    <t>A Bruxa de Portobello</t>
  </si>
  <si>
    <t>Paulo Coelho</t>
  </si>
  <si>
    <t>A Swiftly Tilting Planet</t>
  </si>
  <si>
    <t>Gregor the Overlander</t>
  </si>
  <si>
    <t>Suzanne Collins</t>
  </si>
  <si>
    <t>Sing You Home</t>
  </si>
  <si>
    <t>The Tale of the Body Thief</t>
  </si>
  <si>
    <t>The Camel Club</t>
  </si>
  <si>
    <t>Saving The World and Other Extreme Sports</t>
  </si>
  <si>
    <t>Blood of the Fold</t>
  </si>
  <si>
    <t>The Boleyn Inheritance</t>
  </si>
  <si>
    <t>A Spool of Blue Thread</t>
  </si>
  <si>
    <t>Anne Tyler</t>
  </si>
  <si>
    <t>The Underground Railroad</t>
  </si>
  <si>
    <t>Colson Whitehead</t>
  </si>
  <si>
    <t>Masquerade</t>
  </si>
  <si>
    <t>The Iron Queen</t>
  </si>
  <si>
    <t>Losing It</t>
  </si>
  <si>
    <t>Cora Carmack</t>
  </si>
  <si>
    <t>The Racketeer</t>
  </si>
  <si>
    <t>Disgrace</t>
  </si>
  <si>
    <t>J.M. Coetzee</t>
  </si>
  <si>
    <t>The House at Pooh Corner</t>
  </si>
  <si>
    <t>A.A. Milne, Ernest H. Shepard</t>
  </si>
  <si>
    <t>The Black Prism</t>
  </si>
  <si>
    <t>The Mermaid Chair</t>
  </si>
  <si>
    <t>Sue Monk Kidd</t>
  </si>
  <si>
    <t>Frog and Toad Are Friends</t>
  </si>
  <si>
    <t>Arnold Lobel</t>
  </si>
  <si>
    <t>The Carnivorous Carnival</t>
  </si>
  <si>
    <t>Heist Society</t>
  </si>
  <si>
    <t>Behind Closed Doors</t>
  </si>
  <si>
    <t>B.A. Paris</t>
  </si>
  <si>
    <t>The Killer Angels</t>
  </si>
  <si>
    <t>Michael Shaara</t>
  </si>
  <si>
    <t>Circus of the Damned (Anita Blake, Vampire Hunter, #3)</t>
  </si>
  <si>
    <t>Ptolemy's Gate</t>
  </si>
  <si>
    <t>The Island of Dr. Moreau</t>
  </si>
  <si>
    <t>Opal</t>
  </si>
  <si>
    <t>Zeitoun</t>
  </si>
  <si>
    <t>Out of My Mind</t>
  </si>
  <si>
    <t>Sharon M. Draper</t>
  </si>
  <si>
    <t>Rapture</t>
  </si>
  <si>
    <t>Switched</t>
  </si>
  <si>
    <t>Amanda Hocking</t>
  </si>
  <si>
    <t>Ð”Ð¾ÐºÑ‚Ð¾Ñ€ Ð–Ð¸Ð²Ð°Ð³Ð¾</t>
  </si>
  <si>
    <t>Boris Pasternak, Max Hayward, Manya Harari, John Bayley</t>
  </si>
  <si>
    <t>Pines</t>
  </si>
  <si>
    <t>Blake Crouch</t>
  </si>
  <si>
    <t>Disclosure</t>
  </si>
  <si>
    <t>Death Comes to Pemberley</t>
  </si>
  <si>
    <t>P.D. James</t>
  </si>
  <si>
    <t>Ethan Frome</t>
  </si>
  <si>
    <t>Edith Wharton</t>
  </si>
  <si>
    <t>A Map of the World</t>
  </si>
  <si>
    <t>Jane Hamilton, Frank  Muller, C.J. Critt</t>
  </si>
  <si>
    <t>It Ends with Us</t>
  </si>
  <si>
    <t>The Gift of the Magi</t>
  </si>
  <si>
    <t>O. Henry, Lisbeth Zwerger</t>
  </si>
  <si>
    <t>The Electric Kool-Aid Acid Test</t>
  </si>
  <si>
    <t>Tom Wolfe</t>
  </si>
  <si>
    <t>The Naked Lunch</t>
  </si>
  <si>
    <t>William S. Burroughs, James Grauerholz, Barry  Miles</t>
  </si>
  <si>
    <t>The Sandman: Dream Country</t>
  </si>
  <si>
    <t>Neil Gaiman, Kelley Jones, Charles Vess, Colleen Doran, Malcolm Jones III, Steve Erickson</t>
  </si>
  <si>
    <t>A Painted House</t>
  </si>
  <si>
    <t>The Left Hand of Darkness</t>
  </si>
  <si>
    <t>Ursula K. Le Guin, Lech JÄ™czmyk</t>
  </si>
  <si>
    <t>Let It Snow: Three Holiday Romances</t>
  </si>
  <si>
    <t>John Green, Maureen Johnson, Lauren Myracle</t>
  </si>
  <si>
    <t>Full Dark, No Stars</t>
  </si>
  <si>
    <t>Being Mortal: Medicine and What Matters in the End</t>
  </si>
  <si>
    <t>Atul Gawande</t>
  </si>
  <si>
    <t>Intensity</t>
  </si>
  <si>
    <t>Chelsea Chelsea Bang Bang</t>
  </si>
  <si>
    <t>Et dukkehjem</t>
  </si>
  <si>
    <t>Henrik Ibsen, Michael   Meyer</t>
  </si>
  <si>
    <t>Hawaii</t>
  </si>
  <si>
    <t>James A. Michener</t>
  </si>
  <si>
    <t>Revolutionary Road</t>
  </si>
  <si>
    <t>Richard Yates</t>
  </si>
  <si>
    <t>Nick &amp; Norah's Infinite Playlist</t>
  </si>
  <si>
    <t>Rachel Cohn, David Levithan</t>
  </si>
  <si>
    <t>Rosencrantz and Guildenstern are Dead</t>
  </si>
  <si>
    <t>Tom Stoppard, Henry Popkin</t>
  </si>
  <si>
    <t>Forever</t>
  </si>
  <si>
    <t>The Beach</t>
  </si>
  <si>
    <t>Alex Garland</t>
  </si>
  <si>
    <t>Saving CeeCee Honeycutt</t>
  </si>
  <si>
    <t>Beth Hoffman, Jenna Lamia</t>
  </si>
  <si>
    <t>Deadlocked</t>
  </si>
  <si>
    <t>Everything's Eventual: 14 Dark Tales</t>
  </si>
  <si>
    <t>Beezus and Ramona</t>
  </si>
  <si>
    <t>Beverly Cleary</t>
  </si>
  <si>
    <t>The Farthest Shore</t>
  </si>
  <si>
    <t>Airframe</t>
  </si>
  <si>
    <t>Magician</t>
  </si>
  <si>
    <t>Raymond E. Feist</t>
  </si>
  <si>
    <t>Bet Me</t>
  </si>
  <si>
    <t>Jennifer Crusie</t>
  </si>
  <si>
    <t>Long Walk to Freedom: The Autobiography of Nelson Mandela</t>
  </si>
  <si>
    <t>Nelson Mandela</t>
  </si>
  <si>
    <t>Gray Mountain</t>
  </si>
  <si>
    <t>The Power of One</t>
  </si>
  <si>
    <t>Bryce Courtenay</t>
  </si>
  <si>
    <t>The Maltese Falcon</t>
  </si>
  <si>
    <t>Dashiell Hammett</t>
  </si>
  <si>
    <t>Night Road</t>
  </si>
  <si>
    <t>Tripwire</t>
  </si>
  <si>
    <t>Row Labels</t>
  </si>
  <si>
    <t>Grand Total</t>
  </si>
  <si>
    <t>Sum of Gross_Sales</t>
  </si>
  <si>
    <t>Sum of Units_Sold</t>
  </si>
  <si>
    <t>Sum of Book_Average_Rating</t>
  </si>
  <si>
    <t>Average of Gross_Sales2</t>
  </si>
  <si>
    <t>TOTAL GROSS SALES</t>
  </si>
  <si>
    <t>TOTAL UNITS SOLD</t>
  </si>
  <si>
    <t>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</si>
</sst>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i/>
      <sz val="16"/>
      <color theme="2"/>
      <name val="Aptos Narrow"/>
      <family val="2"/>
      <scheme val="minor"/>
    </font>
  </fonts>
  <fills count="3">
    <fill>
      <patternFill patternType="none"/>
    </fill>
    <fill>
      <patternFill patternType="gray125"/>
    </fill>
    <fill>
      <patternFill patternType="solid">
        <fgColor rgb="FF0070C0"/>
        <bgColor indexed="64"/>
      </patternFill>
    </fill>
  </fills>
  <borders count="9">
    <border>
      <left/>
      <right/>
      <top/>
      <bottom/>
      <diagonal/>
    </border>
    <border>
      <left style="thin">
        <color theme="1" tint="0.249977111117893"/>
      </left>
      <right/>
      <top style="thin">
        <color theme="1" tint="0.249977111117893"/>
      </top>
      <bottom/>
      <diagonal/>
    </border>
    <border>
      <left/>
      <right/>
      <top style="thin">
        <color theme="1" tint="0.249977111117893"/>
      </top>
      <bottom/>
      <diagonal/>
    </border>
    <border>
      <left/>
      <right style="thin">
        <color theme="1" tint="0.249977111117893"/>
      </right>
      <top style="thin">
        <color theme="1" tint="0.249977111117893"/>
      </top>
      <bottom/>
      <diagonal/>
    </border>
    <border>
      <left style="thin">
        <color theme="1" tint="0.249977111117893"/>
      </left>
      <right/>
      <top/>
      <bottom/>
      <diagonal/>
    </border>
    <border>
      <left/>
      <right style="thin">
        <color theme="1" tint="0.249977111117893"/>
      </right>
      <top/>
      <bottom/>
      <diagonal/>
    </border>
    <border>
      <left style="thin">
        <color theme="1" tint="0.249977111117893"/>
      </left>
      <right/>
      <top/>
      <bottom style="thin">
        <color theme="1" tint="0.249977111117893"/>
      </bottom>
      <diagonal/>
    </border>
    <border>
      <left/>
      <right/>
      <top/>
      <bottom style="thin">
        <color theme="1" tint="0.249977111117893"/>
      </bottom>
      <diagonal/>
    </border>
    <border>
      <left/>
      <right style="thin">
        <color theme="1" tint="0.249977111117893"/>
      </right>
      <top/>
      <bottom style="thin">
        <color theme="1" tint="0.249977111117893"/>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1" fillId="2" borderId="1"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0" xr9:uid="{0573811A-7196-4FB3-A259-C864728ED944}"/>
    <tableStyle name="Slicer Style 2" pivot="0" table="0" count="1" xr9:uid="{B5F6CEA3-ED7F-4A0D-8C25-9C6D3226A15F}"/>
  </tableStyles>
  <extLst>
    <ext xmlns:x14="http://schemas.microsoft.com/office/spreadsheetml/2009/9/main" uri="{46F421CA-312F-682f-3DD2-61675219B42D}">
      <x14:dxfs count="1">
        <dxf>
          <fill>
            <patternFill>
              <bgColor theme="3"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[BookSalesDashboard.xlsx]Calculations!PivotTable1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Sale Based On Publisher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Calculations!$B$3</c:f>
              <c:strCache>
                <c:ptCount val="1"/>
                <c:pt idx="0">
                  <c:v>Total</c:v>
                </c:pt>
              </c:strCache>
            </c:strRef>
          </c:tx>
          <c:spPr>
            <a:solidFill>
              <a:schemeClr val="accent1"/>
            </a:solidFill>
            <a:ln>
              <a:noFill/>
            </a:ln>
            <a:effectLst/>
            <a:sp3d/>
          </c:spPr>
          <c:invertIfNegative val="0"/>
          <c:cat>
            <c:strRef>
              <c:f>Calculations!$A$4:$A$13</c:f>
              <c:strCache>
                <c:ptCount val="9"/>
                <c:pt idx="0">
                  <c:v>Amazon Digital Services,  Inc.</c:v>
                </c:pt>
                <c:pt idx="1">
                  <c:v>Penguin Group (USA) LLC</c:v>
                </c:pt>
                <c:pt idx="2">
                  <c:v>Random House LLC</c:v>
                </c:pt>
                <c:pt idx="3">
                  <c:v>Hachette Book Group</c:v>
                </c:pt>
                <c:pt idx="4">
                  <c:v>HarperCollins Publishers</c:v>
                </c:pt>
                <c:pt idx="5">
                  <c:v>Simon and Schuster Digital Sales Inc</c:v>
                </c:pt>
                <c:pt idx="6">
                  <c:v>Macmillan</c:v>
                </c:pt>
                <c:pt idx="7">
                  <c:v>HarperCollins Publishing</c:v>
                </c:pt>
                <c:pt idx="8">
                  <c:v>HarperCollins Christian Publishing</c:v>
                </c:pt>
              </c:strCache>
            </c:strRef>
          </c:cat>
          <c:val>
            <c:numRef>
              <c:f>Calculations!$B$4:$B$13</c:f>
              <c:numCache>
                <c:formatCode>General</c:formatCode>
                <c:ptCount val="9"/>
                <c:pt idx="0">
                  <c:v>729809.01000000106</c:v>
                </c:pt>
                <c:pt idx="1">
                  <c:v>356362.47000000015</c:v>
                </c:pt>
                <c:pt idx="2">
                  <c:v>315975.37</c:v>
                </c:pt>
                <c:pt idx="3">
                  <c:v>229790.83000000002</c:v>
                </c:pt>
                <c:pt idx="4">
                  <c:v>214130.43000000005</c:v>
                </c:pt>
                <c:pt idx="5">
                  <c:v>78313.919999999984</c:v>
                </c:pt>
                <c:pt idx="6">
                  <c:v>53927.059999999983</c:v>
                </c:pt>
                <c:pt idx="7">
                  <c:v>4718.01</c:v>
                </c:pt>
                <c:pt idx="8">
                  <c:v>3559.45</c:v>
                </c:pt>
              </c:numCache>
            </c:numRef>
          </c:val>
          <c:extLst>
            <c:ext xmlns:c16="http://schemas.microsoft.com/office/drawing/2014/chart" uri="{C3380CC4-5D6E-409C-BE32-E72D297353CC}">
              <c16:uniqueId val="{00000000-B5C1-4B37-AE8D-873C36B1C11B}"/>
            </c:ext>
          </c:extLst>
        </c:ser>
        <c:dLbls>
          <c:showLegendKey val="0"/>
          <c:showVal val="0"/>
          <c:showCatName val="0"/>
          <c:showSerName val="0"/>
          <c:showPercent val="0"/>
          <c:showBubbleSize val="0"/>
        </c:dLbls>
        <c:gapWidth val="150"/>
        <c:shape val="box"/>
        <c:axId val="629458288"/>
        <c:axId val="629458768"/>
        <c:axId val="0"/>
      </c:bar3DChart>
      <c:catAx>
        <c:axId val="629458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58768"/>
        <c:crosses val="autoZero"/>
        <c:auto val="1"/>
        <c:lblAlgn val="ctr"/>
        <c:lblOffset val="100"/>
        <c:noMultiLvlLbl val="0"/>
      </c:catAx>
      <c:valAx>
        <c:axId val="62945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5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[BookSalesDashboard.xlsx]Calculations!PivotTable2</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Unit</a:t>
            </a:r>
            <a:r>
              <a:rPr lang="en-US" baseline="0"/>
              <a:t> Sold based on genre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Calculations!$B$17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040-4CD8-87E4-C27DBB6BA2D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040-4CD8-87E4-C27DBB6BA2D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040-4CD8-87E4-C27DBB6BA2D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040-4CD8-87E4-C27DBB6BA2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Calculations!$A$18:$A$22</c:f>
              <c:strCache>
                <c:ptCount val="4"/>
                <c:pt idx="0">
                  <c:v>children</c:v>
                </c:pt>
                <c:pt idx="1">
                  <c:v>fiction</c:v>
                </c:pt>
                <c:pt idx="2">
                  <c:v>literary fiction</c:v>
                </c:pt>
                <c:pt idx="3">
                  <c:v>nonfiction</c:v>
                </c:pt>
              </c:strCache>
            </c:strRef>
          </c:cat>
          <c:val>
            <c:numRef>
              <c:f>Calculations!$B$18:$B$22</c:f>
              <c:numCache>
                <c:formatCode>General</c:formatCode>
                <c:ptCount val="4"/>
                <c:pt idx="0">
                  <c:v>298118</c:v>
                </c:pt>
                <c:pt idx="1">
                  <c:v>545658</c:v>
                </c:pt>
                <c:pt idx="2">
                  <c:v>7875834</c:v>
                </c:pt>
                <c:pt idx="3">
                  <c:v>1634759</c:v>
                </c:pt>
              </c:numCache>
            </c:numRef>
          </c:val>
          <c:extLst>
            <c:ext xmlns:c16="http://schemas.microsoft.com/office/drawing/2014/chart" uri="{C3380CC4-5D6E-409C-BE32-E72D297353CC}">
              <c16:uniqueId val="{00000009-C8A1-4D2D-B1AD-179E5EABD83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[BookSalesDashboard.xlsx]Calculations!PivotTable3</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Calculations!$B$27</c:f>
              <c:strCache>
                <c:ptCount val="1"/>
                <c:pt idx="0">
                  <c:v>Sum of Gross_Sales</c:v>
                </c:pt>
              </c:strCache>
            </c:strRef>
          </c:tx>
          <c:spPr>
            <a:solidFill>
              <a:schemeClr val="accent1"/>
            </a:solidFill>
            <a:ln>
              <a:noFill/>
            </a:ln>
            <a:effectLst/>
          </c:spPr>
          <c:invertIfNegative val="0"/>
          <c:cat>
            <c:strRef>
              <c:f>Calculations!$A$28:$A$38</c:f>
              <c:strCache>
                <c:ptCount val="10"/>
                <c:pt idx="0">
                  <c:v>1995</c:v>
                </c:pt>
                <c:pt idx="1">
                  <c:v>2003</c:v>
                </c:pt>
                <c:pt idx="2">
                  <c:v>2006</c:v>
                </c:pt>
                <c:pt idx="3">
                  <c:v>2007</c:v>
                </c:pt>
                <c:pt idx="4">
                  <c:v>2008</c:v>
                </c:pt>
                <c:pt idx="5">
                  <c:v>2009</c:v>
                </c:pt>
                <c:pt idx="6">
                  <c:v>2010</c:v>
                </c:pt>
                <c:pt idx="7">
                  <c:v>2011</c:v>
                </c:pt>
                <c:pt idx="8">
                  <c:v>2012</c:v>
                </c:pt>
                <c:pt idx="9">
                  <c:v>2015</c:v>
                </c:pt>
              </c:strCache>
            </c:strRef>
          </c:cat>
          <c:val>
            <c:numRef>
              <c:f>Calculations!$B$28:$B$38</c:f>
              <c:numCache>
                <c:formatCode>General</c:formatCode>
                <c:ptCount val="10"/>
                <c:pt idx="0">
                  <c:v>60349.099999999991</c:v>
                </c:pt>
                <c:pt idx="1">
                  <c:v>60511.05</c:v>
                </c:pt>
                <c:pt idx="2">
                  <c:v>85492.530000000028</c:v>
                </c:pt>
                <c:pt idx="3">
                  <c:v>63867.009999999987</c:v>
                </c:pt>
                <c:pt idx="4">
                  <c:v>108108.26000000002</c:v>
                </c:pt>
                <c:pt idx="5">
                  <c:v>65535.259999999995</c:v>
                </c:pt>
                <c:pt idx="6">
                  <c:v>54109.19</c:v>
                </c:pt>
                <c:pt idx="7">
                  <c:v>135434.16999999998</c:v>
                </c:pt>
                <c:pt idx="8">
                  <c:v>97114.259999999922</c:v>
                </c:pt>
                <c:pt idx="9">
                  <c:v>87868.760000000024</c:v>
                </c:pt>
              </c:numCache>
            </c:numRef>
          </c:val>
          <c:extLst>
            <c:ext xmlns:c16="http://schemas.microsoft.com/office/drawing/2014/chart" uri="{C3380CC4-5D6E-409C-BE32-E72D297353CC}">
              <c16:uniqueId val="{00000000-5E89-44CD-B858-6D82E45CA105}"/>
            </c:ext>
          </c:extLst>
        </c:ser>
        <c:dLbls>
          <c:showLegendKey val="0"/>
          <c:showVal val="0"/>
          <c:showCatName val="0"/>
          <c:showSerName val="0"/>
          <c:showPercent val="0"/>
          <c:showBubbleSize val="0"/>
        </c:dLbls>
        <c:gapWidth val="219"/>
        <c:overlap val="-27"/>
        <c:axId val="815703280"/>
        <c:axId val="815702320"/>
      </c:barChart>
      <c:lineChart>
        <c:grouping val="standard"/>
        <c:varyColors val="0"/>
        <c:ser>
          <c:idx val="1"/>
          <c:order val="1"/>
          <c:tx>
            <c:strRef>
              <c:f>Calculations!$C$27</c:f>
              <c:strCache>
                <c:ptCount val="1"/>
                <c:pt idx="0">
                  <c:v>Average of Gross_Sales2</c:v>
                </c:pt>
              </c:strCache>
            </c:strRef>
          </c:tx>
          <c:spPr>
            <a:ln w="28575" cap="rnd">
              <a:solidFill>
                <a:schemeClr val="accent2"/>
              </a:solidFill>
              <a:round/>
            </a:ln>
            <a:effectLst/>
          </c:spPr>
          <c:marker>
            <c:symbol val="none"/>
          </c:marker>
          <c:cat>
            <c:strRef>
              <c:f>Calculations!$A$28:$A$38</c:f>
              <c:strCache>
                <c:ptCount val="10"/>
                <c:pt idx="0">
                  <c:v>1995</c:v>
                </c:pt>
                <c:pt idx="1">
                  <c:v>2003</c:v>
                </c:pt>
                <c:pt idx="2">
                  <c:v>2006</c:v>
                </c:pt>
                <c:pt idx="3">
                  <c:v>2007</c:v>
                </c:pt>
                <c:pt idx="4">
                  <c:v>2008</c:v>
                </c:pt>
                <c:pt idx="5">
                  <c:v>2009</c:v>
                </c:pt>
                <c:pt idx="6">
                  <c:v>2010</c:v>
                </c:pt>
                <c:pt idx="7">
                  <c:v>2011</c:v>
                </c:pt>
                <c:pt idx="8">
                  <c:v>2012</c:v>
                </c:pt>
                <c:pt idx="9">
                  <c:v>2015</c:v>
                </c:pt>
              </c:strCache>
            </c:strRef>
          </c:cat>
          <c:val>
            <c:numRef>
              <c:f>Calculations!$C$28:$C$38</c:f>
              <c:numCache>
                <c:formatCode>General</c:formatCode>
                <c:ptCount val="10"/>
                <c:pt idx="0">
                  <c:v>3549.947058823529</c:v>
                </c:pt>
                <c:pt idx="1">
                  <c:v>1551.5653846153848</c:v>
                </c:pt>
                <c:pt idx="2">
                  <c:v>2085.1836585365859</c:v>
                </c:pt>
                <c:pt idx="3">
                  <c:v>1878.441470588235</c:v>
                </c:pt>
                <c:pt idx="4">
                  <c:v>2772.0066666666671</c:v>
                </c:pt>
                <c:pt idx="5">
                  <c:v>1424.6795652173912</c:v>
                </c:pt>
                <c:pt idx="6">
                  <c:v>1229.7543181818182</c:v>
                </c:pt>
                <c:pt idx="7">
                  <c:v>2462.4394545454543</c:v>
                </c:pt>
                <c:pt idx="8">
                  <c:v>1428.15088235294</c:v>
                </c:pt>
                <c:pt idx="9">
                  <c:v>3379.5676923076931</c:v>
                </c:pt>
              </c:numCache>
            </c:numRef>
          </c:val>
          <c:smooth val="0"/>
          <c:extLst>
            <c:ext xmlns:c16="http://schemas.microsoft.com/office/drawing/2014/chart" uri="{C3380CC4-5D6E-409C-BE32-E72D297353CC}">
              <c16:uniqueId val="{00000001-5E89-44CD-B858-6D82E45CA105}"/>
            </c:ext>
          </c:extLst>
        </c:ser>
        <c:dLbls>
          <c:showLegendKey val="0"/>
          <c:showVal val="0"/>
          <c:showCatName val="0"/>
          <c:showSerName val="0"/>
          <c:showPercent val="0"/>
          <c:showBubbleSize val="0"/>
        </c:dLbls>
        <c:marker val="1"/>
        <c:smooth val="0"/>
        <c:axId val="815707600"/>
        <c:axId val="815699920"/>
      </c:lineChart>
      <c:catAx>
        <c:axId val="81570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99920"/>
        <c:crosses val="autoZero"/>
        <c:auto val="1"/>
        <c:lblAlgn val="ctr"/>
        <c:lblOffset val="100"/>
        <c:noMultiLvlLbl val="0"/>
      </c:catAx>
      <c:valAx>
        <c:axId val="81569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707600"/>
        <c:crosses val="autoZero"/>
        <c:crossBetween val="between"/>
      </c:valAx>
      <c:valAx>
        <c:axId val="8157023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703280"/>
        <c:crosses val="max"/>
        <c:crossBetween val="between"/>
      </c:valAx>
      <c:catAx>
        <c:axId val="815703280"/>
        <c:scaling>
          <c:orientation val="minMax"/>
        </c:scaling>
        <c:delete val="1"/>
        <c:axPos val="b"/>
        <c:numFmt formatCode="General" sourceLinked="1"/>
        <c:majorTickMark val="out"/>
        <c:minorTickMark val="none"/>
        <c:tickLblPos val="nextTo"/>
        <c:crossAx val="8157023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[BookSalesDashboard.xlsx]Calculations!PivotTable7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 Based On Years</a:t>
            </a:r>
            <a:endParaRPr lang="en-US"/>
          </a:p>
        </c:rich>
      </c:tx>
      <c:layout>
        <c:manualLayout>
          <c:xMode val="edge"/>
          <c:yMode val="edge"/>
          <c:x val="0.25628477690288715"/>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Calculations!$I$21</c:f>
              <c:strCache>
                <c:ptCount val="1"/>
                <c:pt idx="0">
                  <c:v>Total</c:v>
                </c:pt>
              </c:strCache>
            </c:strRef>
          </c:tx>
          <c:spPr>
            <a:solidFill>
              <a:schemeClr val="accent1"/>
            </a:solidFill>
            <a:ln>
              <a:noFill/>
            </a:ln>
            <a:effectLst/>
            <a:sp3d/>
          </c:spPr>
          <c:invertIfNegative val="0"/>
          <c:cat>
            <c:strRef>
              <c:f>Calculations!$H$22:$H$32</c:f>
              <c:strCache>
                <c:ptCount val="10"/>
                <c:pt idx="0">
                  <c:v>2001</c:v>
                </c:pt>
                <c:pt idx="1">
                  <c:v>2003</c:v>
                </c:pt>
                <c:pt idx="2">
                  <c:v>2004</c:v>
                </c:pt>
                <c:pt idx="3">
                  <c:v>2005</c:v>
                </c:pt>
                <c:pt idx="4">
                  <c:v>2007</c:v>
                </c:pt>
                <c:pt idx="5">
                  <c:v>2009</c:v>
                </c:pt>
                <c:pt idx="6">
                  <c:v>2010</c:v>
                </c:pt>
                <c:pt idx="7">
                  <c:v>2011</c:v>
                </c:pt>
                <c:pt idx="8">
                  <c:v>2012</c:v>
                </c:pt>
                <c:pt idx="9">
                  <c:v>2013</c:v>
                </c:pt>
              </c:strCache>
            </c:strRef>
          </c:cat>
          <c:val>
            <c:numRef>
              <c:f>Calculations!$I$22:$I$32</c:f>
              <c:numCache>
                <c:formatCode>General</c:formatCode>
                <c:ptCount val="10"/>
                <c:pt idx="0">
                  <c:v>291832</c:v>
                </c:pt>
                <c:pt idx="1">
                  <c:v>521747</c:v>
                </c:pt>
                <c:pt idx="2">
                  <c:v>324582</c:v>
                </c:pt>
                <c:pt idx="3">
                  <c:v>353962</c:v>
                </c:pt>
                <c:pt idx="4">
                  <c:v>427143</c:v>
                </c:pt>
                <c:pt idx="5">
                  <c:v>468282</c:v>
                </c:pt>
                <c:pt idx="6">
                  <c:v>489571</c:v>
                </c:pt>
                <c:pt idx="7">
                  <c:v>635477</c:v>
                </c:pt>
                <c:pt idx="8">
                  <c:v>769084</c:v>
                </c:pt>
                <c:pt idx="9">
                  <c:v>422449</c:v>
                </c:pt>
              </c:numCache>
            </c:numRef>
          </c:val>
          <c:extLst>
            <c:ext xmlns:c16="http://schemas.microsoft.com/office/drawing/2014/chart" uri="{C3380CC4-5D6E-409C-BE32-E72D297353CC}">
              <c16:uniqueId val="{00000000-A095-4ED3-95D6-3EC06C14B421}"/>
            </c:ext>
          </c:extLst>
        </c:ser>
        <c:dLbls>
          <c:showLegendKey val="0"/>
          <c:showVal val="0"/>
          <c:showCatName val="0"/>
          <c:showSerName val="0"/>
          <c:showPercent val="0"/>
          <c:showBubbleSize val="0"/>
        </c:dLbls>
        <c:gapWidth val="150"/>
        <c:shape val="box"/>
        <c:axId val="921279424"/>
        <c:axId val="921226144"/>
        <c:axId val="0"/>
      </c:bar3DChart>
      <c:catAx>
        <c:axId val="921279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26144"/>
        <c:crosses val="autoZero"/>
        <c:auto val="1"/>
        <c:lblAlgn val="ctr"/>
        <c:lblOffset val="100"/>
        <c:noMultiLvlLbl val="0"/>
      </c:catAx>
      <c:valAx>
        <c:axId val="92122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7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[BookSalesDashboard.xlsx]Calculations!PivotTable9</c:name>
    <c:fmtId val="2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Unit Sold</a:t>
            </a:r>
            <a:r>
              <a:rPr lang="en-US" baseline="0"/>
              <a:t> Based On Language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Calculations!$M$14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930-4BB8-B18E-4EAAB79A59B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930-4BB8-B18E-4EAAB79A59B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930-4BB8-B18E-4EAAB79A59B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930-4BB8-B18E-4EAAB79A59B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930-4BB8-B18E-4EAAB79A59B8}"/>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930-4BB8-B18E-4EAAB79A59B8}"/>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E930-4BB8-B18E-4EAAB79A59B8}"/>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E930-4BB8-B18E-4EAAB79A59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Calculations!$L$15:$L$23</c:f>
              <c:strCache>
                <c:ptCount val="8"/>
                <c:pt idx="0">
                  <c:v>ara</c:v>
                </c:pt>
                <c:pt idx="1">
                  <c:v>en-CA</c:v>
                </c:pt>
                <c:pt idx="2">
                  <c:v>eng</c:v>
                </c:pt>
                <c:pt idx="3">
                  <c:v>en-GB</c:v>
                </c:pt>
                <c:pt idx="4">
                  <c:v>en-US</c:v>
                </c:pt>
                <c:pt idx="5">
                  <c:v>fre</c:v>
                </c:pt>
                <c:pt idx="6">
                  <c:v>nl</c:v>
                </c:pt>
                <c:pt idx="7">
                  <c:v>spa</c:v>
                </c:pt>
              </c:strCache>
            </c:strRef>
          </c:cat>
          <c:val>
            <c:numRef>
              <c:f>Calculations!$M$15:$M$23</c:f>
              <c:numCache>
                <c:formatCode>General</c:formatCode>
                <c:ptCount val="8"/>
                <c:pt idx="0">
                  <c:v>7209</c:v>
                </c:pt>
                <c:pt idx="1">
                  <c:v>12805</c:v>
                </c:pt>
                <c:pt idx="2">
                  <c:v>7601833</c:v>
                </c:pt>
                <c:pt idx="3">
                  <c:v>245937</c:v>
                </c:pt>
                <c:pt idx="4">
                  <c:v>2467242</c:v>
                </c:pt>
                <c:pt idx="5">
                  <c:v>6915</c:v>
                </c:pt>
                <c:pt idx="6">
                  <c:v>3969</c:v>
                </c:pt>
                <c:pt idx="7">
                  <c:v>8459</c:v>
                </c:pt>
              </c:numCache>
            </c:numRef>
          </c:val>
          <c:extLst>
            <c:ext xmlns:c16="http://schemas.microsoft.com/office/drawing/2014/chart" uri="{C3380CC4-5D6E-409C-BE32-E72D297353CC}">
              <c16:uniqueId val="{00000010-E930-4BB8-B18E-4EAAB79A59B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[BookSalesDashboard.xlsx]Calculations!PivotTable10</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Best Selling Books Based On Units</a:t>
            </a:r>
            <a:r>
              <a:rPr lang="en-US" baseline="0"/>
              <a:t> Sold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s>
    <c:plotArea>
      <c:layout/>
      <c:pieChart>
        <c:varyColors val="1"/>
        <c:ser>
          <c:idx val="0"/>
          <c:order val="0"/>
          <c:tx>
            <c:strRef>
              <c:f>Calculations!$M$31</c:f>
              <c:strCache>
                <c:ptCount val="1"/>
                <c:pt idx="0">
                  <c:v>Sum of Units_Sold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1C-4656-993F-F5D6C474B4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1C-4656-993F-F5D6C474B4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1C-4656-993F-F5D6C474B4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1C-4656-993F-F5D6C474B41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1C-4656-993F-F5D6C474B41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D1C-4656-993F-F5D6C474B41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D1C-4656-993F-F5D6C474B41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D1C-4656-993F-F5D6C474B41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D1C-4656-993F-F5D6C474B41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D1C-4656-993F-F5D6C474B413}"/>
              </c:ext>
            </c:extLst>
          </c:dPt>
          <c:cat>
            <c:strRef>
              <c:f>Calculations!$L$32:$L$42</c:f>
              <c:strCache>
                <c:ptCount val="10"/>
                <c:pt idx="0">
                  <c:v>The Lost World</c:v>
                </c:pt>
                <c:pt idx="1">
                  <c:v>The Immortals of Meluha</c:v>
                </c:pt>
                <c:pt idx="2">
                  <c:v>North and South</c:v>
                </c:pt>
                <c:pt idx="3">
                  <c:v>New Moon: The Complete Illustrated Movie Companion</c:v>
                </c:pt>
                <c:pt idx="4">
                  <c:v>Mr Maybe</c:v>
                </c:pt>
                <c:pt idx="5">
                  <c:v>Maybe Someday</c:v>
                </c:pt>
                <c:pt idx="6">
                  <c:v>Anne of the Island</c:v>
                </c:pt>
                <c:pt idx="7">
                  <c:v>An Echo in the Bone</c:v>
                </c:pt>
                <c:pt idx="8">
                  <c:v>Also sprach Zarathustra</c:v>
                </c:pt>
                <c:pt idx="9">
                  <c:v>A Stolen Life</c:v>
                </c:pt>
              </c:strCache>
            </c:strRef>
          </c:cat>
          <c:val>
            <c:numRef>
              <c:f>Calculations!$M$32:$M$42</c:f>
              <c:numCache>
                <c:formatCode>General</c:formatCode>
                <c:ptCount val="10"/>
                <c:pt idx="0">
                  <c:v>55728</c:v>
                </c:pt>
                <c:pt idx="1">
                  <c:v>56808</c:v>
                </c:pt>
                <c:pt idx="2">
                  <c:v>58968</c:v>
                </c:pt>
                <c:pt idx="3">
                  <c:v>61560</c:v>
                </c:pt>
                <c:pt idx="4">
                  <c:v>61128</c:v>
                </c:pt>
                <c:pt idx="5">
                  <c:v>61128</c:v>
                </c:pt>
                <c:pt idx="6">
                  <c:v>60696</c:v>
                </c:pt>
                <c:pt idx="7">
                  <c:v>64368</c:v>
                </c:pt>
                <c:pt idx="8">
                  <c:v>59400</c:v>
                </c:pt>
                <c:pt idx="9">
                  <c:v>57240</c:v>
                </c:pt>
              </c:numCache>
            </c:numRef>
          </c:val>
          <c:extLst>
            <c:ext xmlns:c16="http://schemas.microsoft.com/office/drawing/2014/chart" uri="{C3380CC4-5D6E-409C-BE32-E72D297353CC}">
              <c16:uniqueId val="{00000014-9D1C-4656-993F-F5D6C474B413}"/>
            </c:ext>
          </c:extLst>
        </c:ser>
        <c:ser>
          <c:idx val="1"/>
          <c:order val="1"/>
          <c:tx>
            <c:strRef>
              <c:f>Calculations!$N$31</c:f>
              <c:strCache>
                <c:ptCount val="1"/>
                <c:pt idx="0">
                  <c:v>Sum of Gross_Sales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9D1C-4656-993F-F5D6C474B4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9D1C-4656-993F-F5D6C474B4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9D1C-4656-993F-F5D6C474B4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9D1C-4656-993F-F5D6C474B41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9D1C-4656-993F-F5D6C474B41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9D1C-4656-993F-F5D6C474B41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9D1C-4656-993F-F5D6C474B41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9D1C-4656-993F-F5D6C474B41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9D1C-4656-993F-F5D6C474B41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9D1C-4656-993F-F5D6C474B413}"/>
              </c:ext>
            </c:extLst>
          </c:dPt>
          <c:cat>
            <c:strRef>
              <c:f>Calculations!$L$32:$L$42</c:f>
              <c:strCache>
                <c:ptCount val="10"/>
                <c:pt idx="0">
                  <c:v>The Lost World</c:v>
                </c:pt>
                <c:pt idx="1">
                  <c:v>The Immortals of Meluha</c:v>
                </c:pt>
                <c:pt idx="2">
                  <c:v>North and South</c:v>
                </c:pt>
                <c:pt idx="3">
                  <c:v>New Moon: The Complete Illustrated Movie Companion</c:v>
                </c:pt>
                <c:pt idx="4">
                  <c:v>Mr Maybe</c:v>
                </c:pt>
                <c:pt idx="5">
                  <c:v>Maybe Someday</c:v>
                </c:pt>
                <c:pt idx="6">
                  <c:v>Anne of the Island</c:v>
                </c:pt>
                <c:pt idx="7">
                  <c:v>An Echo in the Bone</c:v>
                </c:pt>
                <c:pt idx="8">
                  <c:v>Also sprach Zarathustra</c:v>
                </c:pt>
                <c:pt idx="9">
                  <c:v>A Stolen Life</c:v>
                </c:pt>
              </c:strCache>
            </c:strRef>
          </c:cat>
          <c:val>
            <c:numRef>
              <c:f>Calculations!$N$32:$N$42</c:f>
              <c:numCache>
                <c:formatCode>General</c:formatCode>
                <c:ptCount val="10"/>
                <c:pt idx="0">
                  <c:v>1398.6</c:v>
                </c:pt>
                <c:pt idx="1">
                  <c:v>418.6</c:v>
                </c:pt>
                <c:pt idx="2">
                  <c:v>562.59</c:v>
                </c:pt>
                <c:pt idx="3">
                  <c:v>1560.58</c:v>
                </c:pt>
                <c:pt idx="4">
                  <c:v>562.59</c:v>
                </c:pt>
                <c:pt idx="5">
                  <c:v>969.86</c:v>
                </c:pt>
                <c:pt idx="6">
                  <c:v>139.59</c:v>
                </c:pt>
                <c:pt idx="7">
                  <c:v>1857.96</c:v>
                </c:pt>
                <c:pt idx="8">
                  <c:v>1030.71</c:v>
                </c:pt>
                <c:pt idx="9">
                  <c:v>558.6</c:v>
                </c:pt>
              </c:numCache>
            </c:numRef>
          </c:val>
          <c:extLst>
            <c:ext xmlns:c16="http://schemas.microsoft.com/office/drawing/2014/chart" uri="{C3380CC4-5D6E-409C-BE32-E72D297353CC}">
              <c16:uniqueId val="{00000029-9D1C-4656-993F-F5D6C474B4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18</xdr:row>
      <xdr:rowOff>175260</xdr:rowOff>
    </xdr:from>
    <xdr:to>
      <xdr:col>7</xdr:col>
      <xdr:colOff>419100</xdr:colOff>
      <xdr:row>33</xdr:row>
      <xdr:rowOff>175260</xdr:rowOff>
    </xdr:to>
    <xdr:graphicFrame macro="">
      <xdr:nvGraphicFramePr>
        <xdr:cNvPr id="2" name="Chart 1">
          <a:extLst>
            <a:ext uri="{FF2B5EF4-FFF2-40B4-BE49-F238E27FC236}">
              <a16:creationId xmlns:a16="http://schemas.microsoft.com/office/drawing/2014/main" id="{F3E4510F-5382-471E-8908-4F8469CD0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533400</xdr:colOff>
      <xdr:row>19</xdr:row>
      <xdr:rowOff>7620</xdr:rowOff>
    </xdr:from>
    <xdr:to>
      <xdr:col>15</xdr:col>
      <xdr:colOff>228600</xdr:colOff>
      <xdr:row>34</xdr:row>
      <xdr:rowOff>7620</xdr:rowOff>
    </xdr:to>
    <xdr:graphicFrame macro="">
      <xdr:nvGraphicFramePr>
        <xdr:cNvPr id="3" name="Chart 2">
          <a:extLst>
            <a:ext uri="{FF2B5EF4-FFF2-40B4-BE49-F238E27FC236}">
              <a16:creationId xmlns:a16="http://schemas.microsoft.com/office/drawing/2014/main" id="{B4963DA8-0105-4443-B1BE-911F5598A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358140</xdr:colOff>
      <xdr:row>19</xdr:row>
      <xdr:rowOff>15240</xdr:rowOff>
    </xdr:from>
    <xdr:to>
      <xdr:col>23</xdr:col>
      <xdr:colOff>53340</xdr:colOff>
      <xdr:row>34</xdr:row>
      <xdr:rowOff>15240</xdr:rowOff>
    </xdr:to>
    <xdr:graphicFrame macro="">
      <xdr:nvGraphicFramePr>
        <xdr:cNvPr id="4" name="Chart 3">
          <a:extLst>
            <a:ext uri="{FF2B5EF4-FFF2-40B4-BE49-F238E27FC236}">
              <a16:creationId xmlns:a16="http://schemas.microsoft.com/office/drawing/2014/main" id="{A63E272B-1F7E-4A41-AE86-05B6AB8DA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53340</xdr:colOff>
      <xdr:row>14</xdr:row>
      <xdr:rowOff>7621</xdr:rowOff>
    </xdr:from>
    <xdr:to>
      <xdr:col>21</xdr:col>
      <xdr:colOff>220980</xdr:colOff>
      <xdr:row>18</xdr:row>
      <xdr:rowOff>167640</xdr:rowOff>
    </xdr:to>
    <mc:AlternateContent xmlns:mc="http://schemas.openxmlformats.org/markup-compatibility/2006" xmlns:a14="http://schemas.microsoft.com/office/drawing/2010/main">
      <mc:Choice Requires="a14">
        <xdr:graphicFrame macro="">
          <xdr:nvGraphicFramePr>
            <xdr:cNvPr id="5" name="Language_Code">
              <a:extLst>
                <a:ext uri="{FF2B5EF4-FFF2-40B4-BE49-F238E27FC236}">
                  <a16:creationId xmlns:a16="http://schemas.microsoft.com/office/drawing/2014/main" id="{92350AC9-C111-63AC-64F8-0DE6915D850B}"/>
                </a:ext>
              </a:extLst>
            </xdr:cNvPr>
            <xdr:cNvGraphicFramePr/>
          </xdr:nvGraphicFramePr>
          <xdr:xfrm>
            <a:off x="0" y="0"/>
            <a:ext cx="0" cy="0"/>
          </xdr:xfrm>
          <a:graphic>
            <a:graphicData uri="http://schemas.microsoft.com/office/drawing/2010/slicer">
              <sle:slicer xmlns:sle="http://schemas.microsoft.com/office/drawing/2010/slicer" name="Language_Code"/>
            </a:graphicData>
          </a:graphic>
        </xdr:graphicFrame>
      </mc:Choice>
      <mc:Fallback xmlns="">
        <xdr:sp macro="" textlink="">
          <xdr:nvSpPr>
            <xdr:cNvPr id="0" name=""/>
            <xdr:cNvSpPr>
              <a:spLocks noTextEdit="1"/>
            </xdr:cNvSpPr>
          </xdr:nvSpPr>
          <xdr:spPr>
            <a:xfrm>
              <a:off x="10416540" y="2651761"/>
              <a:ext cx="2606040" cy="891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76200</xdr:colOff>
      <xdr:row>9</xdr:row>
      <xdr:rowOff>22861</xdr:rowOff>
    </xdr:from>
    <xdr:to>
      <xdr:col>21</xdr:col>
      <xdr:colOff>198120</xdr:colOff>
      <xdr:row>13</xdr:row>
      <xdr:rowOff>228600</xdr:rowOff>
    </xdr:to>
    <mc:AlternateContent xmlns:mc="http://schemas.openxmlformats.org/markup-compatibility/2006" xmlns:a14="http://schemas.microsoft.com/office/drawing/2010/main">
      <mc:Choice Requires="a14">
        <xdr:graphicFrame macro="">
          <xdr:nvGraphicFramePr>
            <xdr:cNvPr id="6" name="Author_Rating">
              <a:extLst>
                <a:ext uri="{FF2B5EF4-FFF2-40B4-BE49-F238E27FC236}">
                  <a16:creationId xmlns:a16="http://schemas.microsoft.com/office/drawing/2014/main" id="{C45EC0F1-D114-AD38-938F-63CB84B869C2}"/>
                </a:ext>
              </a:extLst>
            </xdr:cNvPr>
            <xdr:cNvGraphicFramePr/>
          </xdr:nvGraphicFramePr>
          <xdr:xfrm>
            <a:off x="0" y="0"/>
            <a:ext cx="0" cy="0"/>
          </xdr:xfrm>
          <a:graphic>
            <a:graphicData uri="http://schemas.microsoft.com/office/drawing/2010/slicer">
              <sle:slicer xmlns:sle="http://schemas.microsoft.com/office/drawing/2010/slicer" name="Author_Rating"/>
            </a:graphicData>
          </a:graphic>
        </xdr:graphicFrame>
      </mc:Choice>
      <mc:Fallback xmlns="">
        <xdr:sp macro="" textlink="">
          <xdr:nvSpPr>
            <xdr:cNvPr id="0" name=""/>
            <xdr:cNvSpPr>
              <a:spLocks noTextEdit="1"/>
            </xdr:cNvSpPr>
          </xdr:nvSpPr>
          <xdr:spPr>
            <a:xfrm>
              <a:off x="10439400" y="1668781"/>
              <a:ext cx="2560320" cy="937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129540</xdr:colOff>
      <xdr:row>14</xdr:row>
      <xdr:rowOff>38100</xdr:rowOff>
    </xdr:from>
    <xdr:ext cx="1569720" cy="457200"/>
    <xdr:sp macro="" textlink="Calculations!H3">
      <xdr:nvSpPr>
        <xdr:cNvPr id="7" name="TextBox 6">
          <a:extLst>
            <a:ext uri="{FF2B5EF4-FFF2-40B4-BE49-F238E27FC236}">
              <a16:creationId xmlns:a16="http://schemas.microsoft.com/office/drawing/2014/main" id="{1C0FD1C4-97D7-7AB0-A6D8-BB336B772122}"/>
            </a:ext>
          </a:extLst>
        </xdr:cNvPr>
        <xdr:cNvSpPr txBox="1"/>
      </xdr:nvSpPr>
      <xdr:spPr>
        <a:xfrm>
          <a:off x="739140" y="2682240"/>
          <a:ext cx="1569720" cy="457200"/>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t">
          <a:noAutofit/>
        </a:bodyPr>
        <a:lstStyle/>
        <a:p>
          <a:fld id="{529B3861-AECC-4E04-A940-D6CFA0700C06}" type="TxLink">
            <a:rPr lang="en-US" sz="2400" b="0" i="0" u="none" strike="noStrike">
              <a:solidFill>
                <a:srgbClr val="000000"/>
              </a:solidFill>
              <a:latin typeface="Aptos Narrow"/>
            </a:rPr>
            <a:pPr/>
            <a:t>1986586.55</a:t>
          </a:fld>
          <a:endParaRPr lang="en-US" sz="2400"/>
        </a:p>
      </xdr:txBody>
    </xdr:sp>
    <xdr:clientData/>
  </xdr:oneCellAnchor>
  <xdr:oneCellAnchor>
    <xdr:from>
      <xdr:col>5</xdr:col>
      <xdr:colOff>129540</xdr:colOff>
      <xdr:row>14</xdr:row>
      <xdr:rowOff>38100</xdr:rowOff>
    </xdr:from>
    <xdr:ext cx="1569720" cy="457200"/>
    <xdr:sp macro="" textlink="Calculations!I6">
      <xdr:nvSpPr>
        <xdr:cNvPr id="16" name="TextBox 15">
          <a:extLst>
            <a:ext uri="{FF2B5EF4-FFF2-40B4-BE49-F238E27FC236}">
              <a16:creationId xmlns:a16="http://schemas.microsoft.com/office/drawing/2014/main" id="{F0EBFCBA-61D6-4472-8150-A08AB6A0C50C}"/>
            </a:ext>
          </a:extLst>
        </xdr:cNvPr>
        <xdr:cNvSpPr txBox="1"/>
      </xdr:nvSpPr>
      <xdr:spPr>
        <a:xfrm>
          <a:off x="739140" y="2682240"/>
          <a:ext cx="1569720" cy="457200"/>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t">
          <a:noAutofit/>
        </a:bodyPr>
        <a:lstStyle/>
        <a:p>
          <a:fld id="{2C4D79CF-A907-4BCB-AA71-6072B939A373}" type="TxLink">
            <a:rPr lang="en-US" sz="2400" b="0" i="0" u="none" strike="noStrike">
              <a:solidFill>
                <a:srgbClr val="000000"/>
              </a:solidFill>
              <a:latin typeface="Aptos Narrow"/>
            </a:rPr>
            <a:pPr/>
            <a:t>103544</a:t>
          </a:fld>
          <a:endParaRPr lang="en-US" sz="2400" b="0" i="0" u="none" strike="noStrike">
            <a:solidFill>
              <a:srgbClr val="000000"/>
            </a:solidFill>
            <a:latin typeface="Aptos Narrow"/>
          </a:endParaRPr>
        </a:p>
      </xdr:txBody>
    </xdr:sp>
    <xdr:clientData/>
  </xdr:oneCellAnchor>
  <xdr:oneCellAnchor>
    <xdr:from>
      <xdr:col>9</xdr:col>
      <xdr:colOff>129540</xdr:colOff>
      <xdr:row>14</xdr:row>
      <xdr:rowOff>38100</xdr:rowOff>
    </xdr:from>
    <xdr:ext cx="1569720" cy="457200"/>
    <xdr:sp macro="" textlink="Calculations!H9">
      <xdr:nvSpPr>
        <xdr:cNvPr id="18" name="TextBox 17">
          <a:extLst>
            <a:ext uri="{FF2B5EF4-FFF2-40B4-BE49-F238E27FC236}">
              <a16:creationId xmlns:a16="http://schemas.microsoft.com/office/drawing/2014/main" id="{3CFF3A6C-02CF-4349-8C90-E45554C030C7}"/>
            </a:ext>
          </a:extLst>
        </xdr:cNvPr>
        <xdr:cNvSpPr txBox="1"/>
      </xdr:nvSpPr>
      <xdr:spPr>
        <a:xfrm>
          <a:off x="3177540" y="2682240"/>
          <a:ext cx="1569720" cy="457200"/>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t">
          <a:noAutofit/>
        </a:bodyPr>
        <a:lstStyle/>
        <a:p>
          <a:fld id="{B4EFA6C4-82D4-4AB4-9D70-056659D92241}" type="TxLink">
            <a:rPr lang="en-US" sz="2400" b="0" i="0" u="none" strike="noStrike">
              <a:solidFill>
                <a:srgbClr val="000000"/>
              </a:solidFill>
              <a:latin typeface="Aptos Narrow"/>
            </a:rPr>
            <a:pPr/>
            <a:t>1742.01</a:t>
          </a:fld>
          <a:endParaRPr lang="en-US" sz="2400" b="0" i="0" u="none" strike="noStrike">
            <a:solidFill>
              <a:srgbClr val="000000"/>
            </a:solidFill>
            <a:latin typeface="Aptos Narrow"/>
          </a:endParaRPr>
        </a:p>
      </xdr:txBody>
    </xdr:sp>
    <xdr:clientData/>
  </xdr:oneCellAnchor>
  <xdr:twoCellAnchor>
    <xdr:from>
      <xdr:col>0</xdr:col>
      <xdr:colOff>129540</xdr:colOff>
      <xdr:row>34</xdr:row>
      <xdr:rowOff>129540</xdr:rowOff>
    </xdr:from>
    <xdr:to>
      <xdr:col>7</xdr:col>
      <xdr:colOff>434340</xdr:colOff>
      <xdr:row>49</xdr:row>
      <xdr:rowOff>129540</xdr:rowOff>
    </xdr:to>
    <xdr:graphicFrame macro="">
      <xdr:nvGraphicFramePr>
        <xdr:cNvPr id="19" name="Chart 18">
          <a:extLst>
            <a:ext uri="{FF2B5EF4-FFF2-40B4-BE49-F238E27FC236}">
              <a16:creationId xmlns:a16="http://schemas.microsoft.com/office/drawing/2014/main" id="{5F353268-2C93-4A8C-8872-FF2A1A7CE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190500</xdr:colOff>
      <xdr:row>9</xdr:row>
      <xdr:rowOff>53340</xdr:rowOff>
    </xdr:from>
    <xdr:to>
      <xdr:col>16</xdr:col>
      <xdr:colOff>586740</xdr:colOff>
      <xdr:row>18</xdr:row>
      <xdr:rowOff>121921</xdr:rowOff>
    </xdr:to>
    <mc:AlternateContent xmlns:mc="http://schemas.openxmlformats.org/markup-compatibility/2006" xmlns:a14="http://schemas.microsoft.com/office/drawing/2010/main">
      <mc:Choice Requires="a14">
        <xdr:graphicFrame macro="">
          <xdr:nvGraphicFramePr>
            <xdr:cNvPr id="21" name="Publisher">
              <a:extLst>
                <a:ext uri="{FF2B5EF4-FFF2-40B4-BE49-F238E27FC236}">
                  <a16:creationId xmlns:a16="http://schemas.microsoft.com/office/drawing/2014/main" id="{8B9C96F7-933F-4210-A268-1D1E3EED2A5E}"/>
                </a:ext>
              </a:extLst>
            </xdr:cNvPr>
            <xdr:cNvGraphicFramePr/>
          </xdr:nvGraphicFramePr>
          <xdr:xfrm>
            <a:off x="0" y="0"/>
            <a:ext cx="0" cy="0"/>
          </xdr:xfrm>
          <a:graphic>
            <a:graphicData uri="http://schemas.microsoft.com/office/drawing/2010/slicer">
              <sle:slicer xmlns:sle="http://schemas.microsoft.com/office/drawing/2010/slicer" name="Publisher"/>
            </a:graphicData>
          </a:graphic>
        </xdr:graphicFrame>
      </mc:Choice>
      <mc:Fallback xmlns="">
        <xdr:sp macro="" textlink="">
          <xdr:nvSpPr>
            <xdr:cNvPr id="0" name=""/>
            <xdr:cNvSpPr>
              <a:spLocks noTextEdit="1"/>
            </xdr:cNvSpPr>
          </xdr:nvSpPr>
          <xdr:spPr>
            <a:xfrm>
              <a:off x="7505700" y="1699260"/>
              <a:ext cx="2834640" cy="1798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373380</xdr:colOff>
      <xdr:row>34</xdr:row>
      <xdr:rowOff>152400</xdr:rowOff>
    </xdr:from>
    <xdr:to>
      <xdr:col>23</xdr:col>
      <xdr:colOff>68580</xdr:colOff>
      <xdr:row>49</xdr:row>
      <xdr:rowOff>152400</xdr:rowOff>
    </xdr:to>
    <xdr:graphicFrame macro="">
      <xdr:nvGraphicFramePr>
        <xdr:cNvPr id="23" name="Chart 22">
          <a:extLst>
            <a:ext uri="{FF2B5EF4-FFF2-40B4-BE49-F238E27FC236}">
              <a16:creationId xmlns:a16="http://schemas.microsoft.com/office/drawing/2014/main" id="{5764B249-E555-4F8C-885D-C90BEE3E2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251460</xdr:colOff>
      <xdr:row>9</xdr:row>
      <xdr:rowOff>15240</xdr:rowOff>
    </xdr:from>
    <xdr:to>
      <xdr:col>23</xdr:col>
      <xdr:colOff>53340</xdr:colOff>
      <xdr:row>18</xdr:row>
      <xdr:rowOff>160020</xdr:rowOff>
    </xdr:to>
    <mc:AlternateContent xmlns:mc="http://schemas.openxmlformats.org/markup-compatibility/2006" xmlns:a14="http://schemas.microsoft.com/office/drawing/2010/main">
      <mc:Choice Requires="a14">
        <xdr:graphicFrame macro="">
          <xdr:nvGraphicFramePr>
            <xdr:cNvPr id="24" name="Genre">
              <a:extLst>
                <a:ext uri="{FF2B5EF4-FFF2-40B4-BE49-F238E27FC236}">
                  <a16:creationId xmlns:a16="http://schemas.microsoft.com/office/drawing/2014/main" id="{F00979AC-642B-4A91-9352-0B2ECAD91894}"/>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3053060" y="1661160"/>
              <a:ext cx="1021080" cy="1874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300755</xdr:colOff>
      <xdr:row>1</xdr:row>
      <xdr:rowOff>66322</xdr:rowOff>
    </xdr:from>
    <xdr:to>
      <xdr:col>23</xdr:col>
      <xdr:colOff>18815</xdr:colOff>
      <xdr:row>8</xdr:row>
      <xdr:rowOff>81562</xdr:rowOff>
    </xdr:to>
    <xdr:sp macro="" textlink="">
      <xdr:nvSpPr>
        <xdr:cNvPr id="25" name="Rectangle: Rounded Corners 24">
          <a:extLst>
            <a:ext uri="{FF2B5EF4-FFF2-40B4-BE49-F238E27FC236}">
              <a16:creationId xmlns:a16="http://schemas.microsoft.com/office/drawing/2014/main" id="{EEB0733C-D677-8D74-8A7A-2A371EFE1CBA}"/>
            </a:ext>
          </a:extLst>
        </xdr:cNvPr>
        <xdr:cNvSpPr/>
      </xdr:nvSpPr>
      <xdr:spPr>
        <a:xfrm>
          <a:off x="300755" y="245063"/>
          <a:ext cx="13782134" cy="1266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556260</xdr:colOff>
      <xdr:row>34</xdr:row>
      <xdr:rowOff>144780</xdr:rowOff>
    </xdr:from>
    <xdr:to>
      <xdr:col>15</xdr:col>
      <xdr:colOff>251460</xdr:colOff>
      <xdr:row>49</xdr:row>
      <xdr:rowOff>144780</xdr:rowOff>
    </xdr:to>
    <xdr:graphicFrame macro="">
      <xdr:nvGraphicFramePr>
        <xdr:cNvPr id="33" name="Chart 32">
          <a:extLst>
            <a:ext uri="{FF2B5EF4-FFF2-40B4-BE49-F238E27FC236}">
              <a16:creationId xmlns:a16="http://schemas.microsoft.com/office/drawing/2014/main" id="{1D1AC517-7A05-4A35-9B22-CD63E0DF8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91440</xdr:colOff>
      <xdr:row>2</xdr:row>
      <xdr:rowOff>83820</xdr:rowOff>
    </xdr:from>
    <xdr:to>
      <xdr:col>21</xdr:col>
      <xdr:colOff>388620</xdr:colOff>
      <xdr:row>6</xdr:row>
      <xdr:rowOff>114300</xdr:rowOff>
    </xdr:to>
    <xdr:sp macro="" textlink="">
      <xdr:nvSpPr>
        <xdr:cNvPr id="27" name="TextBox 26">
          <a:extLst>
            <a:ext uri="{FF2B5EF4-FFF2-40B4-BE49-F238E27FC236}">
              <a16:creationId xmlns:a16="http://schemas.microsoft.com/office/drawing/2014/main" id="{D388E45B-6F20-39A5-AC66-904279F15C94}"/>
            </a:ext>
          </a:extLst>
        </xdr:cNvPr>
        <xdr:cNvSpPr txBox="1"/>
      </xdr:nvSpPr>
      <xdr:spPr>
        <a:xfrm>
          <a:off x="1310640" y="449580"/>
          <a:ext cx="1187958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i="1" u="sng">
              <a:latin typeface="Bell MT" panose="02020503060305020303" pitchFamily="18" charset="0"/>
            </a:rPr>
            <a:t>BOOK SALES AND REVIEW DASHBOARD</a:t>
          </a:r>
        </a:p>
      </xdr:txBody>
    </xdr:sp>
    <xdr:clientData/>
  </xdr:twoCellAnchor>
  <xdr:twoCellAnchor editAs="oneCell">
    <xdr:from>
      <xdr:col>20</xdr:col>
      <xdr:colOff>403389</xdr:colOff>
      <xdr:row>2</xdr:row>
      <xdr:rowOff>37724</xdr:rowOff>
    </xdr:from>
    <xdr:to>
      <xdr:col>22</xdr:col>
      <xdr:colOff>98589</xdr:colOff>
      <xdr:row>7</xdr:row>
      <xdr:rowOff>37723</xdr:rowOff>
    </xdr:to>
    <xdr:pic>
      <xdr:nvPicPr>
        <xdr:cNvPr id="8" name="Graphic 7" descr="Storytelling outline">
          <a:extLst>
            <a:ext uri="{FF2B5EF4-FFF2-40B4-BE49-F238E27FC236}">
              <a16:creationId xmlns:a16="http://schemas.microsoft.com/office/drawing/2014/main" id="{EAA304ED-E07D-CF89-EA3E-C4ABB4418C4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633019" y="395205"/>
          <a:ext cx="918163" cy="893703"/>
        </a:xfrm>
        <a:prstGeom prst="rect">
          <a:avLst/>
        </a:prstGeom>
      </xdr:spPr>
    </xdr:pic>
    <xdr:clientData/>
  </xdr:twoCellAnchor>
  <xdr:twoCellAnchor editAs="oneCell">
    <xdr:from>
      <xdr:col>1</xdr:col>
      <xdr:colOff>258233</xdr:colOff>
      <xdr:row>2</xdr:row>
      <xdr:rowOff>81092</xdr:rowOff>
    </xdr:from>
    <xdr:to>
      <xdr:col>2</xdr:col>
      <xdr:colOff>564914</xdr:colOff>
      <xdr:row>7</xdr:row>
      <xdr:rowOff>81092</xdr:rowOff>
    </xdr:to>
    <xdr:pic>
      <xdr:nvPicPr>
        <xdr:cNvPr id="9" name="Graphic 8" descr="Storytelling outline">
          <a:extLst>
            <a:ext uri="{FF2B5EF4-FFF2-40B4-BE49-F238E27FC236}">
              <a16:creationId xmlns:a16="http://schemas.microsoft.com/office/drawing/2014/main" id="{FC072F53-DC08-7280-9D06-EE429EEFA8C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69714" y="438573"/>
          <a:ext cx="918163" cy="89370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hinlal" refreshedDate="46189.123688310188" createdVersion="8" refreshedVersion="8" minRefreshableVersion="3" recordCount="1070" xr:uid="{F19EFAA7-34F3-4440-969C-B5A7C37CD8C0}">
  <cacheSource type="worksheet">
    <worksheetSource name="Sheet1"/>
  </cacheSource>
  <cacheFields count="14">
    <cacheField name="Publishing_Year" numFmtId="0">
      <sharedItems containsSemiMixedTypes="0" containsString="0" containsNumber="1" containsInteger="1" minValue="-560" maxValue="2016" count="150">
        <n v="1975"/>
        <n v="1987"/>
        <n v="2015"/>
        <n v="2008"/>
        <n v="2011"/>
        <n v="1994"/>
        <n v="2012"/>
        <n v="1905"/>
        <n v="2004"/>
        <n v="1954"/>
        <n v="2010"/>
        <n v="1935"/>
        <n v="1922"/>
        <n v="1974"/>
        <n v="1897"/>
        <n v="2006"/>
        <n v="1948"/>
        <n v="2013"/>
        <n v="2000"/>
        <n v="1991"/>
        <n v="1993"/>
        <n v="1996"/>
        <n v="1981"/>
        <n v="1891"/>
        <n v="1856"/>
        <n v="1961"/>
        <n v="2003"/>
        <n v="2007"/>
        <n v="1986"/>
        <n v="2005"/>
        <n v="1995"/>
        <n v="1998"/>
        <n v="1999"/>
        <n v="1759"/>
        <n v="1983"/>
        <n v="1960"/>
        <n v="1950"/>
        <n v="1997"/>
        <n v="2009"/>
        <n v="2002"/>
        <n v="1849"/>
        <n v="1967"/>
        <n v="1968"/>
        <n v="1959"/>
        <n v="1605"/>
        <n v="1980"/>
        <n v="1901"/>
        <n v="1953"/>
        <n v="1970"/>
        <n v="2014"/>
        <n v="1977"/>
        <n v="1925"/>
        <n v="1902"/>
        <n v="1982"/>
        <n v="1985"/>
        <n v="1989"/>
        <n v="1880"/>
        <n v="1956"/>
        <n v="1390"/>
        <n v="1852"/>
        <n v="1909"/>
        <n v="2001"/>
        <n v="1972"/>
        <n v="1958"/>
        <n v="1979"/>
        <n v="1920"/>
        <n v="1934"/>
        <n v="1939"/>
        <n v="1937"/>
        <n v="1932"/>
        <n v="1869"/>
        <n v="1984"/>
        <n v="1872"/>
        <n v="1603"/>
        <n v="1949"/>
        <n v="1929"/>
        <n v="1992"/>
        <n v="1947"/>
        <n v="1971"/>
        <n v="1976"/>
        <n v="1988"/>
        <n v="1952"/>
        <n v="1965"/>
        <n v="1894"/>
        <n v="1599"/>
        <n v="-380"/>
        <n v="1593"/>
        <n v="1831"/>
        <n v="1899"/>
        <n v="1812"/>
        <n v="1623"/>
        <n v="1854"/>
        <n v="-430"/>
        <n v="1908"/>
        <n v="1596"/>
        <n v="2016"/>
        <n v="1990"/>
        <n v="1601"/>
        <n v="1978"/>
        <n v="1945"/>
        <n v="1941"/>
        <n v="1906"/>
        <n v="1930"/>
        <n v="1955"/>
        <n v="1973"/>
        <n v="1938"/>
        <n v="1931"/>
        <n v="1916"/>
        <n v="1871"/>
        <n v="1864"/>
        <n v="1962"/>
        <n v="1320"/>
        <n v="1667"/>
        <n v="1927"/>
        <n v="1964"/>
        <n v="1868"/>
        <n v="1859"/>
        <n v="1847"/>
        <n v="1874"/>
        <n v="1918"/>
        <n v="-300"/>
        <n v="1969"/>
        <n v="1835"/>
        <n v="1915"/>
        <n v="1883"/>
        <n v="-560"/>
        <n v="1914"/>
        <n v="1308"/>
        <n v="1881"/>
        <n v="1966"/>
        <n v="1933"/>
        <n v="-17"/>
        <n v="1942"/>
        <n v="1830"/>
        <n v="1886"/>
        <n v="1678"/>
        <n v="1940"/>
        <n v="1926"/>
        <n v="1848"/>
        <n v="1826"/>
        <n v="1912"/>
        <n v="1963"/>
        <n v="1853"/>
        <n v="1890"/>
        <n v="-441"/>
        <n v="1928"/>
        <n v="1896"/>
        <n v="1957"/>
        <n v="1911"/>
        <n v="1879"/>
      </sharedItems>
    </cacheField>
    <cacheField name="Book_Name" numFmtId="0">
      <sharedItems count="1045">
        <s v="Beowulf"/>
        <s v="Batman: Year One"/>
        <s v="Go Set a Watchman"/>
        <s v="When You Are Engulfed in Flames"/>
        <s v="Daughter of Smoke &amp; Bone"/>
        <s v="Red Queen"/>
        <s v="The Power of Habit"/>
        <s v="Midnight in the Garden of Good and Evil"/>
        <s v="Hopeless"/>
        <s v="A Little Princess"/>
        <s v="The Truth About Forever"/>
        <s v="The horse and his boy"/>
        <s v="Last Sacrifice "/>
        <s v="Little House on the Prairie"/>
        <s v="The Velveteen Rabbit"/>
        <s v="Zen and the Art of Motorcycle Maintenance"/>
        <s v="The War of the Worlds"/>
        <s v="Pretty Little Liars"/>
        <s v="Corduroy"/>
        <s v="The Omnivore's Dilemma"/>
        <s v="Life After Life"/>
        <s v="The Rescue"/>
        <s v="Needful Things"/>
        <s v="Voyager"/>
        <s v="Cujo"/>
        <s v="The Virgin Suicides"/>
        <s v="Dead to the World"/>
        <s v="Tess of the d'Urbervilles: A Pure Woman Faithfully Presented"/>
        <s v="Madame Bovary"/>
        <s v="The Phantom Tollbooth"/>
        <s v="The Way of Kings"/>
        <s v="Club Dead"/>
        <s v="It's Kind of a Funny Story"/>
        <s v="After You"/>
        <s v="The Language of Flowers"/>
        <s v="Batman: The Dark Knight Returns"/>
        <s v="The Angel Experiment"/>
        <s v="High Fidelity"/>
        <s v="The Guardian"/>
        <s v="Oryx and Crake"/>
        <s v="Men Are from Mars, Women Are from Venus Book of Days: 365 Inspirations to Enrich Your Relationships"/>
        <s v="Kitchen Confidential: Adventures in the Culinary Underbelly"/>
        <s v="Timeline"/>
        <s v="Candide"/>
        <s v="Tuck Everlasting"/>
        <s v="Christine"/>
        <s v="Are You My Mother?"/>
        <s v="The Story of Art"/>
        <s v="Scarlet"/>
        <s v="Rich Dad , Poor Dad"/>
        <s v="Silence "/>
        <s v="The Magicians"/>
        <s v="ãƒ‡ã‚¹ãƒŽãƒ¼ãƒˆ #1 (Desu NÅto) Taikutsu (é€€å±ˆ)"/>
        <s v="A Great and Terrible Beauty"/>
        <s v="Everything Is Illuminated"/>
        <s v="The Bourne Supremacy"/>
        <s v="Easy"/>
        <s v="David Copperfield"/>
        <s v="The Absolutely True Diary of a Part-Time Indian"/>
        <s v="ÐœÐ°ÑÑ‚ÐµÑ€ Ð¸ ÐœÐ°Ñ€Ð³Ð°Ñ€Ð¸Ñ‚Ð°"/>
        <s v="A Wizard of Earthsea"/>
        <s v="Because of Winn-Dixie"/>
        <s v="A Separate Peace"/>
        <s v="The Rainmaker"/>
        <s v="Don Quijote de La Mancha"/>
        <s v="Assassin's Apprentice"/>
        <s v="The Restaurant at the End of the Universe"/>
        <s v="Torment"/>
        <s v="The Tale of Peter Rabbit"/>
        <s v="The Silver Chair"/>
        <s v="The Hero of Ages"/>
        <s v="Girl, Interrupted"/>
        <s v="Are You There, Vodka? It's Me, Chelsea"/>
        <s v="Jonathan Livingston Seagull"/>
        <s v="City of Heavenly Fire"/>
        <s v="Love You Forever"/>
        <s v="Cell"/>
        <s v="The Boys in the Boat: Nine Americans and Their Epic Quest for Gold at the 1936 Berlin Olympics"/>
        <s v="The Silmarillion"/>
        <s v="The Drawing of the Three"/>
        <s v="The Forgotten Garden"/>
        <s v="Der ProzeÃŸ"/>
        <s v="This Lullaby"/>
        <s v="Plain Truth"/>
        <s v="Orange Is the New Black: My Year in a Women's Prison"/>
        <s v="The Hound of the Baskervilles"/>
        <s v="Thinking, Fast and Slow"/>
        <s v="The Mists of Avalon"/>
        <s v="Are You There God? It's Me, Margaret"/>
        <s v="Nights in Rodanthe"/>
        <s v="Mr. Mercedes"/>
        <s v="All Together Dead"/>
        <s v="Midwives"/>
        <s v="The Polar Express"/>
        <s v="The True Story of the Three Little Pigs"/>
        <s v="Patriot Games"/>
        <s v="Veronika decide morrer"/>
        <s v="Lean In: Women, Work, and the Will to Lead"/>
        <s v="Dead as a Doornail "/>
        <s v="Shatter Me (Shatter Me, #1)"/>
        <s v="Starship Troopers"/>
        <s v="I've Got Your Number"/>
        <s v="Sofies Verden"/>
        <s v="The Martian Chronicles"/>
        <s v="A Visit From the Goon Squad"/>
        <s v="Heidi"/>
        <s v="Prey"/>
        <s v="The Last Battle"/>
        <s v="World Without End"/>
        <s v="Chosen: A House of Night Novel"/>
        <s v="Slammed"/>
        <s v="Beastly (Beastly, #1, Kendra Chronicles, #1)"/>
        <s v="Tales of Caunterbury"/>
        <s v="Baby Proof"/>
        <s v="Inheritance"/>
        <s v="ã„ã¡ãã‚…ã†ã¯ã¡ã‚ˆã‚“ [Ichi-KyÅ«-Hachi-Yon]"/>
        <s v="Uncle Tom's Cabin or Life Among the Lowly"/>
        <s v="Le FantÃ´me de l'OpÃ©ra"/>
        <s v="Definitely Dead (Sookie Stackhouse, #6)"/>
        <s v="Ensaio Sobre a Cegueira"/>
        <s v="Freedom"/>
        <s v="Crossed"/>
        <s v="I'd Tell You I Love You, But Then I'd Have to Kill You"/>
        <s v="The White Tiger"/>
        <s v="The Corrections"/>
        <s v="Dreams from My Father"/>
        <s v="Congo"/>
        <s v="Alexander and the Terrible, Horrible, No Good, Very Bad Day"/>
        <s v="Interpreter of Maladies"/>
        <s v="A People's History of the United States: 1492 to Present "/>
        <s v="Breakfast at Tiffany's"/>
        <s v="The Passage"/>
        <s v="Anansi Boys"/>
        <s v="Along for the Ride"/>
        <s v="Everything I Never Told You"/>
        <s v="La casa de los espÃ­ritus"/>
        <s v="The Dead Zone"/>
        <s v="The Mysterious Affair at Styles"/>
        <s v="Murder in the Calais Coach"/>
        <s v="Americanah"/>
        <s v="Suzanne's Diary for Nicholas"/>
        <s v="Firestarter"/>
        <s v="Entwined with You"/>
        <s v="Born to Run: A Hidden Tribe, Superathletes, and the Greatest Race the World Has Never Seen"/>
        <s v="The Storied Life of A.J. Fikry"/>
        <s v="Mad About Madeline"/>
        <s v="Think and Grow Rich"/>
        <s v="Little House In The Big Woods"/>
        <s v="Jonathan Strange &amp; Mr Norrell"/>
        <s v="A Bend in the Road"/>
        <s v="The House of Hades"/>
        <s v="Gone"/>
        <s v="The Wedding"/>
        <s v="1776"/>
        <s v="Under the Banner of Heaven: A Story of Violent Faith"/>
        <s v="Beautiful Ruins"/>
        <s v="The Audacity of Hope: Thoughts on Reclaiming the American Dream"/>
        <s v="On Writing: A Memoir of the Craft"/>
        <s v="Firefly Lane"/>
        <s v="Sphere"/>
        <s v="Love the One You're With"/>
        <s v="The Silkworm"/>
        <s v="The Vampire Lestat"/>
        <s v="State of Wonder"/>
        <s v="The Silver Linings Playbook"/>
        <s v="Vingt Mille Lieues Sous les Mers"/>
        <s v="The Constant Princess"/>
        <s v="Mrs Dalloway"/>
        <s v="HundraÃ¥ringen som klev ut genom fÃ¶nstret och fÃ¶rsvann"/>
        <s v="Bag of Bones"/>
        <s v="The Cider House Rules"/>
        <s v="Thinner"/>
        <s v="Le tour du monde en quatre-vingts jours"/>
        <s v="Walk Two Moons"/>
        <s v="Onze minutos"/>
        <s v="Nine Stories"/>
        <s v="Julie &amp; Julia: 365 Days, 524 Recipes, 1 Tiny Apartment Kitchen"/>
        <s v="Unwind"/>
        <s v="Drums of Autumn (Outlander, #4)"/>
        <s v="Prodigy"/>
        <s v="The Tragedie of King Lear"/>
        <s v="Death of a Salesman"/>
        <s v="The Choice"/>
        <s v="The Sound and the Fury"/>
        <s v="A New Earth: Awakening to Your Life's Purpose"/>
        <s v="BLEACHâ€•ãƒ–ãƒªãƒ¼ãƒâ€•ã€€1"/>
        <s v="The Shadow Rising "/>
        <s v="Shantaram"/>
        <s v="From Dead to Worse"/>
        <s v="The Waste Lands"/>
        <s v="The Bone Collector"/>
        <s v="Der Vorleser"/>
        <s v="Brown Bear, Brown Bear, What Do You See?"/>
        <s v="Hyperion"/>
        <s v="The Pearl of the World"/>
        <s v="The Exorcist"/>
        <s v="The Short Second Life of Bree Tanner"/>
        <s v="Snow Falling on Cedars"/>
        <s v="Roots"/>
        <s v="Batman: The Killing Joke "/>
        <s v="Invisible Man"/>
        <s v="A Long Way Gone. Memoirs of a Boy Soldier"/>
        <s v="Mrs. Frisby and the Rats of NIMH"/>
        <s v="Different Seasons"/>
        <s v="The Little House Collection"/>
        <s v="The Girls' Guide to Hunting and Fishing"/>
        <s v="Wool Omnibus"/>
        <s v="Lamb: The Gospel According to Biff, Christ's Childhood Pal"/>
        <s v="The Power of Now"/>
        <s v="Let's Pretend This Never Happened (A Mostly True Memoir)"/>
        <s v="The Lies of Locke Lamora"/>
        <s v="Sabriel"/>
        <s v="Dead and Gone"/>
        <s v="The Storyteller"/>
        <s v="Obsidian"/>
        <s v="Life, the Universe and Everything"/>
        <s v="Crown of Midnight"/>
        <s v="Scott Pilgrim, Volume 1: Scott Pilgrim's Precious Little Life"/>
        <s v="Half Broke Horses: A True Life Novel"/>
        <s v="Mort"/>
        <s v="The Iron King (The Iron Fey, #1) "/>
        <s v="Lonesome Dove"/>
        <s v="Stiff: The Curious Lives of Human Cadavers"/>
        <s v="Bloodlines"/>
        <s v="Ender's Shadow"/>
        <s v="Twenties Girl"/>
        <s v="Schindler's Ark"/>
        <s v="The Bluest Eye"/>
        <s v="The White Queen"/>
        <s v="The Autobiography of Malcolm X"/>
        <s v="Preludes &amp; Nocturnes"/>
        <s v="Seabiscuit"/>
        <s v="Shutter Island"/>
        <s v="The Complete Sherlock Holmes"/>
        <s v="The Tragedy of Julius Caesar"/>
        <s v="In the Garden of Beasts: Love, Terror, and an American Family in Hitler's Berlin"/>
        <s v="Î Î¿Î»Î¹Ï„ÎµÎ¯Î±"/>
        <s v="The Taming of the Shrew"/>
        <s v="Cress"/>
        <s v="Just Kids"/>
        <s v="Jemima J"/>
        <s v="Notre-Dame de Paris"/>
        <s v="A Fine Balance"/>
        <s v="Calvin and Hobbes"/>
        <s v="Specials"/>
        <s v="The Awakening"/>
        <s v="Hunted"/>
        <s v="For One More Day"/>
        <s v="Clear and Present Danger"/>
        <s v="Falling Up"/>
        <s v="Sh*t My Dad Says"/>
        <s v="Trainspotting"/>
        <s v="Foundation and Empire"/>
        <s v="The Four Agreements: A Practical Guide to Personal Freedom, A Toltec Wisdom Book"/>
        <s v="House Rules"/>
        <s v="BrÃ¼der Grimm: Kinder- und HausmÃ¤rchen"/>
        <s v="From the Mixed-Up Files of Mrs. Basil E. Frankweiler"/>
        <s v="Doctor Sleep"/>
        <s v="About a Boy"/>
        <s v="On Dublin Street"/>
        <s v="Crazy Love: Overwhelmed by a Relentless God"/>
        <s v="One Fish, Two Fish, Red Fish, Blue Fish"/>
        <s v="Watchers"/>
        <s v="The Story of My Life"/>
        <s v="This Is Where I Leave You"/>
        <s v="Abraham Lincoln: Vampire Hunter"/>
        <s v="ãƒ•ãƒ«ãƒ¼ãƒ„ãƒã‚¹ã‚±ãƒƒãƒˆ 1"/>
        <s v="The Tempest"/>
        <s v="Burned: A House of Night Novel"/>
        <s v="Wizard and Glass"/>
        <s v="The Circle"/>
        <s v="The Invention of Hugo Cabret"/>
        <s v="Brave New World/Brave New World Revisited"/>
        <s v="æ¡œè˜­é«˜æ ¡ãƒ›ã‚¹ãƒˆéƒ¨ 1"/>
        <s v="The Good Girl"/>
        <s v="Fallen Too Far (Too Far, #1)"/>
        <s v="Landline"/>
        <s v="Tempted"/>
        <s v="No Country for Old Men"/>
        <s v="Wolf Hall"/>
        <s v="Howl's Moving Castle"/>
        <s v="Dreamcatcher"/>
        <s v="Walden; or Life in the Woods"/>
        <s v="The Remains of the Day"/>
        <s v="The Best of Me"/>
        <s v="The Sense of an Ending"/>
        <s v="A is for Alibi"/>
        <s v="ÎŸá¼°Î´Î¯Ï€Î¿Ï…Ï‚ Î¤ÏÏÎ±Î½Î½Î¿Ï‚"/>
        <s v="Shanghai Girls"/>
        <s v="The Wind in the Willows"/>
        <s v="To All the Boys I've Loved Before"/>
        <s v="Persepolis"/>
        <s v="A Room with a View"/>
        <s v="The DUFF: Designated Ugly Fat Friend"/>
        <s v="Lock and Key"/>
        <s v="Naked in Death"/>
        <s v="The Chamber"/>
        <s v="Midnight Sun (Partial Draft)"/>
        <s v="NARUTO -ãƒŠãƒ«ãƒˆ- å·»ãƒŽä¸€ "/>
        <s v="The Unlikely Pilgrimage of Harold Fry"/>
        <s v="Every Day"/>
        <s v="Xenocide"/>
        <s v="The Merchant of Venice"/>
        <s v="ShÅgun"/>
        <s v="Lover Awakened (Black Dagger Brotherhood, #3)"/>
        <s v="A Court of Thorns and Roses"/>
        <s v="Chicka Chicka Boom Boom"/>
        <s v="Smile"/>
        <s v=" Animal Farm &amp; 1984"/>
        <s v="The Deep End of the Ocean"/>
        <s v="The Bonesetter's Daughter"/>
        <s v="Angus, Thongs and Full-Frontal Snogging"/>
        <s v="Mr. Penumbra's 24-Hour Bookstore"/>
        <s v="Flowers in the Attic"/>
        <s v="When Breath Becomes Air"/>
        <s v="Maniac Magee"/>
        <s v="Invisible Monsters"/>
        <s v="Twelfth Night; or, What You Will"/>
        <s v="Gathering Blue"/>
        <s v="The Westing Game"/>
        <s v="Red Rising"/>
        <s v="The Way of Shadows"/>
        <s v="The Bean Trees"/>
        <s v="Walking Disaster"/>
        <s v="Words of Radiance"/>
        <s v="Guess How Much I Love You"/>
        <s v="The Fiery Cross"/>
        <s v="Night Shift"/>
        <s v="Jaws"/>
        <s v="The History of Love"/>
        <s v="Pippi LÃ¥ngstrump"/>
        <s v="L'Ã©lÃ©gance du hÃ©risson"/>
        <s v="Team of Rivals: The Political Genius of Abraham Lincoln"/>
        <s v="Dead in the Family"/>
        <s v="La peste"/>
        <s v="The Reptile Room"/>
        <s v="Brain on Fire"/>
        <s v="Wicked Lovely "/>
        <s v="Curious George"/>
        <s v="Die unendliche Geschichte"/>
        <s v="A Beautiful Mind"/>
        <s v="The Jungle"/>
        <s v="The Summoning"/>
        <s v="The Man Who Mistook His Wife for a Hat and Other Clinical Tales"/>
        <s v="Storm Island"/>
        <s v="The Blind Assassin"/>
        <s v="Hollow City"/>
        <s v="House of Sand and Fog"/>
        <s v="The Girl with All the Gifts"/>
        <s v="As I Lay Dying"/>
        <s v="Harold and the Purple Crayon"/>
        <s v="Lover Eternal (Black Dagger Brotherhood, #2)"/>
        <s v="Fool Moon "/>
        <s v="David and Goliath"/>
        <s v="é‹¼ã®éŒ¬é‡‘è¡“å¸« 1"/>
        <s v="Guards! Guards!"/>
        <s v="The Year of Magical Thinking"/>
        <s v="We Need to Talk About Kevin"/>
        <s v="Rendezvous with Rama"/>
        <s v="The Queen of the Damned"/>
        <s v="The Age of Innocence"/>
        <s v="The Selfish Gene"/>
        <s v="Year of Wonders: A Novel of the Plague"/>
        <s v="The Black Echo"/>
        <s v="Anthem"/>
        <s v="Gabriel's Inferno"/>
        <s v="Cloudy with a Chance of Meatballs"/>
        <s v="Major Pettigrew's Last Stand"/>
        <s v="Vision in White"/>
        <s v="The Tenth Circle"/>
        <s v="The Throne of Fire"/>
        <s v="Old Man's War"/>
        <s v="Gerald's Game"/>
        <s v="Two for the Dough"/>
        <s v="The Joy of Cooking"/>
        <s v="The Forever War"/>
        <s v="Insomnia"/>
        <s v="Reading Lolita in Tehran: A Memoir in Books"/>
        <s v="The Blade Itself"/>
        <s v="The Arctic Incident"/>
        <s v="The Shipping News"/>
        <s v="äººç”ŸãŒã¨ãã‚ãç‰‡ã¥ã‘ã®é­”æ³•"/>
        <s v="All the Bright Places"/>
        <s v="DÃ©jÃ  Dead"/>
        <s v="The Alchemyst: The Secrets of The Immortal Nicholas Flamel"/>
        <s v="The Marriage Plot"/>
        <s v="Hija de la fortuna"/>
        <s v="Luckiest Girl Alive"/>
        <s v="Crank (Crank, #1)"/>
        <s v="The Raven Boys"/>
        <s v="I Am Legend and Other Stories"/>
        <s v="Olive Kitteridge"/>
        <s v="Not that Kind of Girl"/>
        <s v="Good to Great: Why Some Companies Make the Leap... and Others Don't"/>
        <s v="Fire"/>
        <s v="En attendant Godot"/>
        <s v="White Fang"/>
        <s v="Wolves of the Calla"/>
        <s v="His Dark Materials"/>
        <s v="The Edge of Never"/>
        <s v="Reconstructing Amelia"/>
        <s v="The One Plus One"/>
        <s v="The Hours"/>
        <s v="Wallbanger"/>
        <s v="Holidays on Ice"/>
        <s v="Desperation"/>
        <s v="Passion"/>
        <s v="The Kill Order"/>
        <s v="Angelfall"/>
        <s v="Empire Falls"/>
        <s v="The Fires of Heaven"/>
        <s v="I'll Give You the Sun"/>
        <s v="Survivor"/>
        <s v="Shopaholic and Baby"/>
        <s v="The Dark Tower"/>
        <s v="Twilight Director's Notebook"/>
        <s v="Shopaholic Abroad"/>
        <s v="Surely You're Joking, Mr. Feynman! Adventures of a Curious Character"/>
        <s v="Linger"/>
        <s v="The Complete Anne of Green Gables Boxed Set"/>
        <s v="A Portrait of the Artist as a Young Man"/>
        <s v="The Gathering Storm"/>
        <s v="Middlemarch"/>
        <s v="Point of Retreat"/>
        <s v="The Partner"/>
        <s v="The Hobbit and The Lord of the Rings"/>
        <s v="Thoughtless"/>
        <s v="Presumed Innocent"/>
        <s v="The Dark Half"/>
        <s v="Cleopatra: A Life"/>
        <s v="The World Is Flat: A Brief History of the Twenty-first Century"/>
        <s v="Steelheart"/>
        <s v="Voyage au centre de la Terre"/>
        <s v="The Happiness Project"/>
        <s v="The Man in the High Castle"/>
        <s v="Helter Skelter: The True Story of The Manson Murders"/>
        <s v="Inferno"/>
        <s v="Shadow of Night"/>
        <s v="Leaving Time"/>
        <s v="Moon Called"/>
        <s v="Blue Bloods"/>
        <s v="The Alienist"/>
        <s v="Between the World and Me"/>
        <s v="Paradise Lost"/>
        <s v="The Big Short: Inside the Doomsday Machine"/>
        <s v="The Girl Who Loved Tom Gordon"/>
        <s v=" A Monster Calls "/>
        <s v="Towers of Midnight"/>
        <s v="The Day of the Jackal"/>
        <s v="Rework"/>
        <s v="Attachments"/>
        <s v="The Twilight Saga"/>
        <s v="Tell the Wolves I'm Home"/>
        <s v="All Creatures Great And Small"/>
        <s v="The Unbecoming of Mara Dyer"/>
        <s v="Three to Get Deadly"/>
        <s v="The Scarlet Pimpernel"/>
        <s v="The Monster at the End of This Book"/>
        <s v="Tales of a Fourth Grade Nothing"/>
        <s v="Shadow and Bone"/>
        <s v="Het diner"/>
        <s v="Champion"/>
        <s v="Contact"/>
        <s v="Lola and the Boy Next Door"/>
        <s v="White Teeth"/>
        <s v="American Sniper: The Autobiography of the Most Lethal Sniper in U.S. Military History"/>
        <s v="My Horizontal Life: A Collection of One-Night Stands"/>
        <s v="The Power of Six"/>
        <s v="The Interestings"/>
        <s v="The Essential Calvin and Hobbes: A Calvin and Hobbes Treasury"/>
        <s v="People of the Book"/>
        <s v="The Secret Keeper"/>
        <s v="Better Homes &amp; Gardens New Cook Book"/>
        <s v="So Long, and Thanks for All the Fish"/>
        <s v="Der Steppenwolf: ErzÃ¤hlung"/>
        <s v="The Surgeon"/>
        <s v="The Girl You Left Behind"/>
        <s v="Royal Assassin"/>
        <s v="Childhood's End"/>
        <s v=" The Tale of Despereaux"/>
        <s v="Animal, Vegetable, Miracle: A Year of Food Life"/>
        <s v="Heir of Fire"/>
        <s v="The Sweetness at the Bottom of the Pie"/>
        <s v="Blue Like Jazz: Nonreligious Thoughts on Christian Spirituality"/>
        <s v="A Breath of Snow and Ashes"/>
        <s v="The Blood of Olympus"/>
        <s v="Truly Madly Guilty"/>
        <s v="Saga, Volume One"/>
        <s v="The Art of Fielding"/>
        <s v="A Moveable Feast"/>
        <s v="Fablehaven"/>
        <s v="The Wide Window"/>
        <s v="Grave Peril"/>
        <s v="Einstein. His Life and Universe"/>
        <s v="Effortless"/>
        <s v="The Street Lawyer"/>
        <s v="Roll of Thunder, Hear My Cry"/>
        <s v="Pride and Prejudice and Zombies"/>
        <s v="Lets Explore Diabetes with Owls"/>
        <s v="Ð˜Ð´Ð¸Ð¾Ñ‚"/>
        <s v="Dirk Gently's Holistic Detective Agency"/>
        <s v="Rodrick Rules"/>
        <s v="Why Not Me?"/>
        <s v="Four: A Divergent Collection"/>
        <s v="Modern Romance"/>
        <s v="The One and Only Ivan"/>
        <s v="The Perfect Storm: A True Story of Men Against the Sea"/>
        <s v="Elantris"/>
        <s v="The Knife of Never Letting Go"/>
        <s v="One Thousand White Women: The Journals of May Dodd"/>
        <s v="Handle with Care"/>
        <s v="Song of Susannah"/>
        <s v="Reached"/>
        <s v="Midnight's Children"/>
        <s v="The Zombie Survival Guide: Complete Protection from the Living Dead"/>
        <s v="The Testament"/>
        <s v="Murder at the Vicarage"/>
        <s v="Among the Hidden "/>
        <s v="In Defense of Food: An Eater's Manifesto"/>
        <s v="The Witch of Blackbird Pond"/>
        <s v="The Heir"/>
        <s v="Shopaholic Ties the Knot"/>
        <s v="The Woman in White"/>
        <s v="Career of Evil"/>
        <s v="The Summer I Turned Pretty"/>
        <s v="Four to Score "/>
        <s v="The Color of Water: A Black Man's Tribute to His White Mother"/>
        <s v="SuperFreakonomics: Global Cooling, Patriotic Prostitutes, and Why Suicide Bombers Should Buy Life Insurance"/>
        <s v="Darkfever"/>
        <s v="Stone of Tears"/>
        <s v="Heart of the Matter"/>
        <s v="Vanity Fair: A Novel Without a Hero"/>
        <s v="The Sirens of Titan"/>
        <s v="Dolores Claiborne"/>
        <s v="The Nest"/>
        <s v="Fables, Volume 1: Legends in Exile"/>
        <s v="Getting Things Done: How To Achieve Stress-free Productivity"/>
        <s v="The Celestine Prophecy"/>
        <s v="My Life Next Door "/>
        <s v="Winter of the World"/>
        <s v="è‰²å½©ã‚’æŒãŸãªã„å¤šå´Žã¤ãã‚‹ã¨ã€å½¼ã®å·¡ç¤¼ã®å¹´ [Shikisai o motanai Tazaki Tsukuru to, kare no junrei no toshi]"/>
        <s v="Lucky"/>
        <s v="To The Lighthouse "/>
        <s v="Five Point Someone: What Not to Do at IIT"/>
        <s v="Guilty Pleasures"/>
        <s v="The Messenger"/>
        <s v="Far from the Madding Crowd"/>
        <s v="Equal Rites"/>
        <s v="House of Leaves"/>
        <s v="Cruel &amp; Unusual"/>
        <s v="Sycamore Row"/>
        <s v="Awakened"/>
        <s v="My Ãntonia"/>
        <s v="Life As We Knew It"/>
        <s v="America (The Book): A Citizen's Guide to Democracy Inaction"/>
        <s v="90 Minutes in Heaven"/>
        <s v="The Longest Ride"/>
        <s v="é“å¾·ç¶“ [dÃ o dÃ© jÄ«ng]"/>
        <s v="Kane and Abel"/>
        <s v="Change of Heart"/>
        <s v="Dry: A Memoir"/>
        <s v="Sam's Letters To Jennifer"/>
        <s v="Grey"/>
        <s v="Dune Messiah "/>
        <s v="The Great Divorce"/>
        <s v="Little Earthquakes"/>
        <s v="Eventyr og historier"/>
        <s v="New Moon: The Complete Illustrated Movie Companion"/>
        <s v="Maybe Someday"/>
        <s v="Mr Maybe"/>
        <s v="Anne of the Island"/>
        <s v="Also sprach Zarathustra"/>
        <s v="North and South"/>
        <s v="A Stolen Life"/>
        <s v="The Immortals of Meluha"/>
        <s v="The Lost World"/>
        <s v="Requiem"/>
        <s v="A Crown of Swords"/>
        <s v="Aesopica"/>
        <s v="Blood Meridian: Or the Evening Redness in the West"/>
        <s v="Finale"/>
        <s v="Skeleton Crew"/>
        <s v="Lullaby"/>
        <s v="Two States"/>
        <s v="ãƒ´ã‚¡ãƒ³ãƒ‘ã‚¤ã‚¢é¨Žå£« 1"/>
        <s v="Summer Knight"/>
        <s v="Dragonflight"/>
        <s v="The History of the Hobbit, Part One: Mr. Baggins"/>
        <s v="Ugly Love"/>
        <s v="Chocolat"/>
        <s v="The Amityville Horror"/>
        <s v="The English Patient"/>
        <s v="Gabriel's Rapture"/>
        <s v="Dubliners"/>
        <s v="Let the Great World Spin"/>
        <s v="The Eternity Code"/>
        <s v="Tell No One"/>
        <s v="The Tommyknockers"/>
        <s v="Hex Hall"/>
        <s v="Steal Like an Artist"/>
        <s v="Cryptonomicon"/>
        <s v="Beautiful Bastard"/>
        <s v="Prodigal Summer"/>
        <s v="We Were the Mulvaneys"/>
        <s v="Understanding Comics: The Invisible Art"/>
        <s v="Beautiful Darkness"/>
        <s v="The Psychopath Test"/>
        <s v="Vanishing Acts"/>
        <s v="Absolute Power"/>
        <s v="Hot Six"/>
        <s v="The Time Keeper"/>
        <s v="A Dirty Job"/>
        <s v="Moneyball: The Art of Winning an Unfair Game"/>
        <s v="The Amulet of Samarkand"/>
        <s v="I Am America (And So Can You!)"/>
        <s v="The One Minute Manager"/>
        <s v="Exodus"/>
        <s v="Stones from the River"/>
        <s v="The Big Sleep"/>
        <s v="Cannery Row "/>
        <s v="Seriously...I'm Kidding"/>
        <s v="The Miserable Mill"/>
        <s v="The Snow Child"/>
        <s v="Wait for You"/>
        <s v="The Last Straw"/>
        <s v="La Divina Commedia"/>
        <s v="The Tao of Pooh"/>
        <s v="Onyx"/>
        <s v="Unravel Me (Shatter Me, #2)"/>
        <s v="The Birth of Venus"/>
        <s v="The Opal Deception"/>
        <s v="Det som inte dÃ¶dar oss"/>
        <s v="The Girls"/>
        <s v="The Goose Girl"/>
        <s v="Mystic River"/>
        <s v="Warm Bodies"/>
        <s v="The Prince and the Pauper"/>
        <s v="The Moon is a Harsh Mistress"/>
        <s v="The Forty Rules of Love"/>
        <s v="High Five"/>
        <s v="Joyland"/>
        <s v="é€²æ’ƒã®å·¨äºº 1"/>
        <s v="Tender Is the Night"/>
        <s v="Cold Sassy Tree"/>
        <s v="The Glass Menagerie"/>
        <s v="L'amica geniale"/>
        <s v="The 4-Hour Workweek: Escape 9-5, Live Anywhere, and Join the New Rich"/>
        <s v="The Monk Who Sold His Ferrari: A Fable About Fulfilling Your Dreams &amp; Reaching Your Destiny"/>
        <s v="Rules of Civility"/>
        <s v="Ringworld"/>
        <s v="Between Shades of Gray"/>
        <s v="Frindle"/>
        <s v="Dog Days"/>
        <s v="The Round House"/>
        <s v="A Wind in the Door"/>
        <s v="Free Four: Tobias Tells the Divergent Story"/>
        <s v="A Little Life"/>
        <s v="Y: The Last Man, Vol. 1: Unmanned"/>
        <s v="The Alloy of Law"/>
        <s v="Dead Reckoning"/>
        <s v="The Accidental Tourist"/>
        <s v="Aristotle and Dante Discover the Secrets of the Universe"/>
        <s v="The Invisible Man"/>
        <s v="ä¸–ç•Œã®çµ‚ã‚Šã¨ãƒãƒ¼ãƒ‰ãƒœã‚¤ãƒ«ãƒ‰ãƒ»ãƒ¯ãƒ³ãƒ€ãƒ¼ãƒ©ãƒ³ãƒ‰ [Sekai no owari to hÄdoboirudo wandÄrando]"/>
        <s v="Na margem do rio Piedra eu sentei e chorei"/>
        <s v="Der Schweizerische Robinson"/>
        <s v="Four Past Midnight"/>
        <s v="The Marriage Bargain"/>
        <s v="Anne of Avonlea"/>
        <s v="The Little Engine That Could"/>
        <s v="We Are All Completely Beside Ourselves"/>
        <s v="Children of the Mind"/>
        <s v="Ulysses"/>
        <s v="Someone Like You"/>
        <s v="Moloka'i"/>
        <s v="The Witching Hour"/>
        <s v="This Present Darkness"/>
        <s v="The Coincidence of Callie &amp; Kayden"/>
        <s v="Fates and Furies"/>
        <s v="Summer Sisters"/>
        <s v="Stuart Little"/>
        <s v="The Foundation Trilogy"/>
        <s v="The Elegant Universe: Superstrings, Hidden Dimensions, and the Quest for the Ultimate Theory"/>
        <s v="The Austere Academy"/>
        <s v="Seven Up"/>
        <s v="Death Masks"/>
        <s v="Stellaluna"/>
        <s v="Before They Are Hanged"/>
        <s v="Loving Frank"/>
        <s v="Hard Eight"/>
        <s v="The Vile Village"/>
        <s v="Sybil"/>
        <s v="Cosmos"/>
        <s v="Haunted: A Novel of Stories"/>
        <s v="The Shell Seekers"/>
        <s v="What Is the What: The Autobiography of Valentino Achak Deng"/>
        <s v="CrÃ³nica de una muerte anunciada"/>
        <s v="A Scandal in Bohemia"/>
        <s v="Killing Lincoln: The Shocking Assassination that Changed America Forever"/>
        <s v="The Lowland"/>
        <s v="The Ruins of Gorlan"/>
        <s v="Wintergirls"/>
        <s v="The Brethren"/>
        <s v="Assassin's Quest"/>
        <s v="Rosemary's Baby"/>
        <s v="The Talisman"/>
        <s v="The Path of Daggers"/>
        <s v="The Dharma Bums"/>
        <s v="The Reckoning"/>
        <s v="Behind the Beautiful Forevers: Life, Death, and Hope in a Mumbai Undercity"/>
        <s v="Mary Poppins"/>
        <s v="Red Seas Under Red Skies"/>
        <s v="The House on Mango Street"/>
        <s v="City of Thieves"/>
        <s v="Halfway to the Grave"/>
        <s v="The Twits"/>
        <s v="Abhorsen"/>
        <s v="The Beach House"/>
        <s v="Eyes of the Dragon"/>
        <s v="Children of Dune"/>
        <s v="Leviathan Wakes"/>
        <s v="Queen of Shadows"/>
        <s v="Maus II : And Here My Troubles Began "/>
        <s v="The Snowy Day"/>
        <s v="To the Nines"/>
        <s v="Where We Belong"/>
        <s v="The Hot Zone: The Terrifying True Story of the Origins of the Ebola Virus"/>
        <s v="ã‚¹ãƒ—ãƒ¼ãƒˆãƒ‹ã‚¯ã®æ‹äºº [SupÅ«toniku no Koibito]"/>
        <s v="The Signature of All Things"/>
        <s v="Eats, Shoots and Leaves"/>
        <s v="Dead Witch Walking"/>
        <s v="An Echo in the Bone"/>
        <s v="Unearthly"/>
        <s v="The Case for Christ"/>
        <s v="Knife of Dreams"/>
        <s v="Hoot"/>
        <s v="Ã†neis"/>
        <s v="This is How You Lose Her"/>
        <s v="ã‚¢ãƒ•ã‚¿ãƒ¼ãƒ€ãƒ¼ã‚¯ [AfutÄ dÄku]"/>
        <s v="Ishmael: An Adventure of the Mind and Spirit"/>
        <s v="It's Not Summer Without You"/>
        <s v="Pushing the Limits"/>
        <s v="Quidditch Through the Ages"/>
        <s v="Miss Nelson Is Missing!"/>
        <s v="The Long Walk"/>
        <s v="The Ersatz Elevator"/>
        <s v="Messenger "/>
        <s v="Lover Revealed"/>
        <s v="'Salem's Lot The Illustrated Edition"/>
        <s v="The Mysterious Benedict Society"/>
        <s v="God is Not Great: How Religion Poisons Everything"/>
        <s v="Never Too Far (Too Far, #2)"/>
        <s v="State of Fear"/>
        <s v="The Statistical Probability of Love at First Sight"/>
        <s v="The Golem's Eye"/>
        <s v="Still Life with Woodpecker"/>
        <s v="Those Who Save Us"/>
        <s v="The Broker"/>
        <s v="Across the Universe"/>
        <s v="The Road Less Traveled:  A New Psychology of Love, Traditional Values, and Spiritual Growth"/>
        <s v="Blood Rites"/>
        <s v="The Boxcar Children"/>
        <s v="The Silent Wife"/>
        <s v="How to Be a Woman"/>
        <s v="A Court of Mist and Fury"/>
        <s v="Life"/>
        <s v="Unaccustomed Earth"/>
        <s v="The Pilot's Wife"/>
        <s v="White Noise"/>
        <s v="Band of Brothers: E Company, 506th Regiment, 101st Airborne from Normandy to Hitler's Eagle's Nest"/>
        <s v="On the Origin of Species by Means of Natural Selection or the Preservation of Favoured Races in the Struggle for Life"/>
        <s v="Blankets"/>
        <s v="The Story of Edgar Sawtelle"/>
        <s v="Drowning Ruth"/>
        <s v="Post Office"/>
        <s v="All the Pretty Horses"/>
        <s v="Sherlock Holmes: The Complete Novels and Stories, Vol 2"/>
        <s v="One Piece, Volume 01"/>
        <s v="The Last Unicorn"/>
        <s v="Magyk"/>
        <s v="Fever 1793"/>
        <s v="The Likeness"/>
        <s v="Dead Wake: The Last Crossing of the Lusitania"/>
        <s v="The Jungle Book"/>
        <s v="I Am Pilgrim"/>
        <s v="Howl and Other Poems "/>
        <s v="Don't Sweat the Small Stuff"/>
        <s v="Go the Fuck to Sleep"/>
        <s v="Mostly Harmless"/>
        <s v="Benjamin Franklin: An American Life"/>
        <s v="The Tiger's Wife"/>
        <s v="Poison Study"/>
        <s v="Lover Unbound"/>
        <s v="Going Postal"/>
        <s v="The Book of Mormon"/>
        <s v="The Mist"/>
        <s v="Dead Beat"/>
        <s v="Golden Son"/>
        <s v="Night Watch"/>
        <s v="The Light Fantastic"/>
        <s v="What the Dog Saw and Other Adventures"/>
        <s v="Pretty Girls"/>
        <s v="Last Argument of Kings"/>
        <s v="Revival"/>
        <s v="Horton Hears a Who!"/>
        <s v="The Blind Side: Evolution of a Game"/>
        <s v="Lirael"/>
        <s v="School's Out Forever"/>
        <s v="é»’åŸ·äº‹ I [Kuroshitsuji I]"/>
        <s v="Winter"/>
        <s v="The Strange Case of Dr. Jekyll and Mr. Hyde and Other Tales of Terror "/>
        <s v="The Painted Man"/>
        <s v="One Shot"/>
        <s v="The Serpent's Shadow"/>
        <s v="Duma Key"/>
        <s v="The Shifting Fog"/>
        <s v="Proven Guilty"/>
        <s v="Ð—Ð°Ð¿Ð¸ÑÐºÐ¸ Ð¸Ð· Ð¿Ð¾Ð´Ð¿Ð¾Ð»ÑŒÑ"/>
        <s v="The Heart is a Lonely Hunter"/>
        <s v="The Infinite Sea"/>
        <s v="The Once and Future King"/>
        <s v="Small Gods"/>
        <s v="Bud, Not Buddy"/>
        <s v="Predictably Irrational: The Hidden Forces that Shape Our Decisions"/>
        <s v="Ø§Ù„ÙÙŠÙ„ Ø§Ù„Ø£Ø²Ø±Ù‚"/>
        <s v="The Indian in the Cupboard"/>
        <s v="A Memory of Light"/>
        <s v="Me and Earl and the Dying Girl"/>
        <s v="The Ugly Truth"/>
        <s v="Janet Evanovich Three and Four Two-Book Set (Stephanie Plum, #3-4)"/>
        <s v="The Surgeon of Crowthorne: a tale of murder, madness &amp; the love of words"/>
        <s v="2nd Chance"/>
        <s v="The Complete Maus"/>
        <s v="The Eyre Affair"/>
        <s v="Anne Rice's The Vampire Lestat: The Graphic Novel"/>
        <s v="The Art of Happiness: A Handbook for Living"/>
        <s v="The Bone Clocks"/>
        <s v="Black and Blue"/>
        <s v="The Last Juror"/>
        <s v="Diary"/>
        <s v="Eleven on Top"/>
        <s v="Tintenblut"/>
        <s v="Sex, Drugs, and Cocoa Puffs: A Low Culture Manifesto"/>
        <s v="Brideshead Revisited: The Sacred and Profane Memories of Captain Charles Ryder"/>
        <s v="White Night"/>
        <s v="The Miniaturist"/>
        <s v="Dragons of Autumn Twilight"/>
        <s v="The Lost Colony"/>
        <s v="Extras"/>
        <s v="The Burning Bridge"/>
        <s v="The Book of Life"/>
        <s v="The Artist's Way: A Spiritual Path to Higher Creativity"/>
        <s v="The Stinky Cheese Man and Other Fairly Stupid Tales"/>
        <s v="Horns"/>
        <s v="Catherine the Great: Portrait of a Woman"/>
        <s v="The Year of the Flood"/>
        <s v="Winter Garden"/>
        <s v="The King of Torts"/>
        <s v="Lone Survivor: The Eyewitness Account of Operation Redwing and the Lost Heroes of SEAL Team 10"/>
        <s v="The 3 Mistakes of My Life"/>
        <s v="The Murder of Roger Ackroyd"/>
        <s v="Native Son "/>
        <s v="Shadow's Edge"/>
        <s v="Under the Never Sky"/>
        <s v="True Believer"/>
        <s v="The Lean Startupâ€Ž"/>
        <s v="The Golden Lily"/>
        <s v="Chasing Harry Winston"/>
        <s v="Magician's Gambit"/>
        <s v="The Rise and Fall of the Third Reich: A History of Nazi Germany"/>
        <s v="A Long Way Down"/>
        <s v="Out from Boneville"/>
        <s v="Rose Madder"/>
        <s v="Die Trying (Jack Reacher, #2)"/>
        <s v="Beautiful Chaos"/>
        <s v="Keeping Faith"/>
        <s v="Heart-Shaped Box"/>
        <s v="Cabin Fever"/>
        <s v="Everyone Worth Knowing"/>
        <s v="Redwall"/>
        <s v="Manifest der Kommunistischen Partei"/>
        <s v="The Woman in Cabin 10"/>
        <s v="The Last of the Mohicans: A Narrative of 1757"/>
        <s v="Sophie's Choice"/>
        <s v="Shopaholic and Sister"/>
        <s v="The Iron Daughter"/>
        <s v="The Prayer of Jabez:  Breaking Through to the Blessed Life"/>
        <s v="The Age of Miracles"/>
        <s v="Have a Little Faith: A True Story"/>
        <s v="My Life in France"/>
        <s v="The Rosie Effect"/>
        <s v="The Secret of the Nagas."/>
        <s v="Ham on Rye"/>
        <s v="Flipped"/>
        <s v="Emotional Intelligence 2.0"/>
        <s v="Make Way for Ducklings"/>
        <s v="Relic"/>
        <s v="Notes from a Small Island"/>
        <s v="Small Favor"/>
        <s v="The Walking Dead Compendium Volume 1"/>
        <s v="Princess Academy"/>
        <s v="Everything, Everything"/>
        <s v="Pygmalion"/>
        <s v="Flight Behavior"/>
        <s v="Grip of the Shadow Plague"/>
        <s v="Bridget Jones: The Edge of Reason"/>
        <s v="Captain Corelli's Mandolin"/>
        <s v="At First Sight"/>
        <s v="Down Under"/>
        <s v="The Memoirs of Sherlock Holmes"/>
        <s v="The Orphan Master's Son"/>
        <s v="Enchanters' End Game"/>
        <s v="The Chosen"/>
        <s v="The Agony and the Ecstasy: A Biographical Novel of Michelangelo"/>
        <s v="El juego del Ã¡ngel"/>
        <s v="Where Rainbows End"/>
        <s v="Amelia Bedelia"/>
        <s v="This Man"/>
        <s v="A Dog's Purpose "/>
        <s v="An Ember in the Ashes"/>
        <s v="Lover Enshrined, part one"/>
        <s v="The Golem and the Jinni"/>
        <s v="Ø§Ù„Ø£Ø³ÙˆØ¯ ÙŠÙ„ÙŠÙ‚ Ø¨Ùƒ"/>
        <s v="The Slippery Slope"/>
        <s v="Bleak House"/>
        <s v="Caps for sale: a tale of a peddler, some monkeys and their monkey business"/>
        <s v="Furies of Calderon "/>
        <s v="Alanna: The First Adventure"/>
        <s v="Her Fearful Symmetry"/>
        <s v="The Boston Girl"/>
        <s v="Lover Enshrined, part two"/>
        <s v="The Fall of Hyperion"/>
        <s v="The Black Dahlia"/>
        <s v="Through the Looking-Glass, and What Alice Found There"/>
        <s v="Wild Swans: Three Daughters of China"/>
        <s v="Go, Dog. Go!"/>
        <s v="Finders Keepers"/>
        <s v="The Strain"/>
        <s v="The Complete Poems of Emily Dickinson"/>
        <s v="Old Yeller"/>
        <s v="Born Standing Up: A Comic's Life"/>
        <s v="PostSecret: Extraordinary Confessions from Ordinary Lives"/>
        <s v="A Storm of Swords: Part 2 Blood and Gold"/>
        <s v="The Borrowers Afield"/>
        <s v="Hearts in Atlantis"/>
        <s v="ç¾Šã‚’ã‚ãã‚‹å†’é™º [HitsujiwomegurubÅken]"/>
        <s v="The Queen's Fool"/>
        <s v="Days of Blood &amp; Starlight"/>
        <s v="Jitterbug Perfume"/>
        <s v="The Battle for Skandia (Ranger's Apprentice, #4)"/>
        <s v="The Darkest Minds"/>
        <s v="O Zahir"/>
        <s v="The Power of Positive Thinking"/>
        <s v="In a Dark, Dark Wood "/>
        <s v="The House of Mirth"/>
        <s v="Fairy Tail 1"/>
        <s v="The Slow Regard of Silent Things"/>
        <s v="Twelve Years a Slave"/>
        <s v="Lover Avenged, part one"/>
        <s v="In the Heart of the Sea: The Tragedy of the Whaleship Essex"/>
        <s v="Infidel"/>
        <s v="The Black Swan: The Impact of the Highly Improbable"/>
        <s v="The Twelve"/>
        <s v="ÐžÐ´Ð¸Ð½ Ð´ÐµÐ½ÑŒ Ð˜Ð²Ð°Ð½Ð° Ð”ÐµÐ½Ð¸ÑÐ¾Ð²Ð¸Ñ‡Ð°"/>
        <s v="The Diamond Age"/>
        <s v="A Canticle for Leibowitz"/>
        <s v="á¼ˆÎ½Ï„Î¹Î³ÏŒÎ½Î·"/>
        <s v="Brooklyn"/>
        <s v="Wither"/>
        <s v="Hillbilly Elegy. A Memoir of a Family and Culture in Crisis"/>
        <s v="Crossroads of Twilight"/>
        <s v="The Red Badge of Courage"/>
        <s v="What If?: Serious Scientific Answers to Absurd Hypothetical Questions"/>
        <s v="Gardens of the Moon"/>
        <s v="A Bruxa de Portobello"/>
        <s v="A Swiftly Tilting Planet"/>
        <s v="Gregor the Overlander"/>
        <s v="Sing You Home"/>
        <s v="The Tale of the Body Thief"/>
        <s v="The Camel Club"/>
        <s v="Saving The World and Other Extreme Sports"/>
        <s v="Blood of the Fold"/>
        <s v="The Boleyn Inheritance"/>
        <s v="A Spool of Blue Thread"/>
        <s v="The Underground Railroad"/>
        <s v="Masquerade"/>
        <s v="The Iron Queen"/>
        <s v="Losing It"/>
        <s v="The Racketeer"/>
        <s v="Disgrace"/>
        <s v="The House at Pooh Corner"/>
        <s v="The Black Prism"/>
        <s v="The Mermaid Chair"/>
        <s v="Frog and Toad Are Friends"/>
        <s v="The Carnivorous Carnival"/>
        <s v="Heist Society"/>
        <s v="Behind Closed Doors"/>
        <s v="The Killer Angels"/>
        <s v="Circus of the Damned (Anita Blake, Vampire Hunter, #3)"/>
        <s v="Ptolemy's Gate"/>
        <s v="The Island of Dr. Moreau"/>
        <s v="Opal"/>
        <s v="Zeitoun"/>
        <s v="Out of My Mind"/>
        <s v="Rapture"/>
        <s v="Switched"/>
        <s v="Ð”Ð¾ÐºÑ‚Ð¾Ñ€ Ð–Ð¸Ð²Ð°Ð³Ð¾"/>
        <s v="Pines"/>
        <s v="Disclosure"/>
        <s v="Death Comes to Pemberley"/>
        <s v="Ethan Frome"/>
        <s v="A Map of the World"/>
        <s v="It Ends with Us"/>
        <s v="The Gift of the Magi"/>
        <s v="The Electric Kool-Aid Acid Test"/>
        <s v="The Naked Lunch"/>
        <s v="The Sandman: Dream Country"/>
        <s v="A Painted House"/>
        <s v="The Left Hand of Darkness"/>
        <s v="Let It Snow: Three Holiday Romances"/>
        <s v="Full Dark, No Stars"/>
        <s v="Being Mortal: Medicine and What Matters in the End"/>
        <s v="Intensity"/>
        <s v="Chelsea Chelsea Bang Bang"/>
        <s v="Et dukkehjem"/>
        <s v="Hawaii"/>
        <s v="Revolutionary Road"/>
        <s v="Nick &amp; Norah's Infinite Playlist"/>
        <s v="Rosencrantz and Guildenstern are Dead"/>
        <s v="Forever"/>
        <s v="The Beach"/>
        <s v="Saving CeeCee Honeycutt"/>
        <s v="Deadlocked"/>
        <s v="Everything's Eventual: 14 Dark Tales"/>
        <s v="Beezus and Ramona"/>
        <s v="The Farthest Shore"/>
        <s v="Airframe"/>
        <s v="Magician"/>
        <s v="Bet Me"/>
        <s v="Long Walk to Freedom: The Autobiography of Nelson Mandela"/>
        <s v="Gray Mountain"/>
        <s v="The Power of One"/>
        <s v="The Maltese Falcon"/>
        <s v="Night Road"/>
        <s v="Tripwire"/>
      </sharedItems>
    </cacheField>
    <cacheField name="Author" numFmtId="0">
      <sharedItems longText="1"/>
    </cacheField>
    <cacheField name="Language_Code" numFmtId="0">
      <sharedItems count="8">
        <s v="en-US"/>
        <s v="eng"/>
        <s v="spa"/>
        <s v="en-GB"/>
        <s v="fre"/>
        <s v="en-CA"/>
        <s v="nl"/>
        <s v="ara"/>
      </sharedItems>
    </cacheField>
    <cacheField name="Author_Rating" numFmtId="0">
      <sharedItems count="4">
        <s v="Novice"/>
        <s v="Intermediate"/>
        <s v="Famous"/>
        <s v="Excellent"/>
      </sharedItems>
    </cacheField>
    <cacheField name="Book_Average_Rating" numFmtId="0">
      <sharedItems containsSemiMixedTypes="0" containsString="0" containsNumber="1" minValue="2.97" maxValue="4.7699999999999996"/>
    </cacheField>
    <cacheField name="Book_Ratings_Count" numFmtId="0">
      <sharedItems containsSemiMixedTypes="0" containsString="0" containsNumber="1" containsInteger="1" minValue="27308" maxValue="206792"/>
    </cacheField>
    <cacheField name="Genre" numFmtId="0">
      <sharedItems count="4">
        <s v="literary fiction"/>
        <s v="fiction"/>
        <s v="nonfiction"/>
        <s v="children"/>
      </sharedItems>
    </cacheField>
    <cacheField name="Gross_Sales" numFmtId="0">
      <sharedItems containsSemiMixedTypes="0" containsString="0" containsNumber="1" minValue="104.94" maxValue="47795"/>
    </cacheField>
    <cacheField name="Publisher_Revenue" numFmtId="0">
      <sharedItems containsSemiMixedTypes="0" containsString="0" containsNumber="1" minValue="0" maxValue="28677"/>
    </cacheField>
    <cacheField name="Sale_Price" numFmtId="0">
      <sharedItems containsSemiMixedTypes="0" containsString="0" containsNumber="1" minValue="0.99" maxValue="33.86"/>
    </cacheField>
    <cacheField name="Sale_Rank" numFmtId="0">
      <sharedItems containsSemiMixedTypes="0" containsString="0" containsNumber="1" containsInteger="1" minValue="1" maxValue="1273"/>
    </cacheField>
    <cacheField name="Publisher" numFmtId="0">
      <sharedItems count="9">
        <s v="HarperCollins Publishers"/>
        <s v="Amazon Digital Services,  Inc."/>
        <s v="Hachette Book Group"/>
        <s v="Penguin Group (USA) LLC"/>
        <s v="Random House LLC"/>
        <s v="Simon and Schuster Digital Sales Inc"/>
        <s v="Macmillan"/>
        <s v="HarperCollins Publishing"/>
        <s v="HarperCollins Christian Publishing"/>
      </sharedItems>
    </cacheField>
    <cacheField name="Units_Sold" numFmtId="0">
      <sharedItems containsSemiMixedTypes="0" containsString="0" containsNumber="1" containsInteger="1" minValue="106" maxValue="61560"/>
    </cacheField>
  </cacheFields>
  <extLst>
    <ext xmlns:x14="http://schemas.microsoft.com/office/spreadsheetml/2009/9/main" uri="{725AE2AE-9491-48be-B2B4-4EB974FC3084}">
      <x14:pivotCacheDefinition pivotCacheId="2120810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0">
  <r>
    <x v="0"/>
    <x v="0"/>
    <s v="Unknown, Seamus Heaney"/>
    <x v="0"/>
    <x v="0"/>
    <n v="3.42"/>
    <n v="155903"/>
    <x v="0"/>
    <n v="34160"/>
    <n v="20496"/>
    <n v="4.88"/>
    <n v="1"/>
    <x v="0"/>
    <n v="7000"/>
  </r>
  <r>
    <x v="1"/>
    <x v="1"/>
    <s v="Frank Miller, David Mazzucchelli, Richmond Lewis, Dennis O'Neil"/>
    <x v="1"/>
    <x v="1"/>
    <n v="4.2300000000000004"/>
    <n v="145267"/>
    <x v="0"/>
    <n v="12437.5"/>
    <n v="7462.5"/>
    <n v="1.99"/>
    <n v="2"/>
    <x v="0"/>
    <n v="6250"/>
  </r>
  <r>
    <x v="2"/>
    <x v="2"/>
    <s v="Harper Lee"/>
    <x v="1"/>
    <x v="0"/>
    <n v="3.31"/>
    <n v="138669"/>
    <x v="0"/>
    <n v="47795"/>
    <n v="28677"/>
    <n v="8.69"/>
    <n v="3"/>
    <x v="1"/>
    <n v="5500"/>
  </r>
  <r>
    <x v="3"/>
    <x v="3"/>
    <s v="David Sedaris"/>
    <x v="0"/>
    <x v="1"/>
    <n v="4.04"/>
    <n v="150898"/>
    <x v="1"/>
    <n v="41250"/>
    <n v="24750"/>
    <n v="7.5"/>
    <n v="3"/>
    <x v="2"/>
    <n v="5500"/>
  </r>
  <r>
    <x v="4"/>
    <x v="4"/>
    <s v="Laini Taylor"/>
    <x v="1"/>
    <x v="1"/>
    <n v="4.04"/>
    <n v="198283"/>
    <x v="0"/>
    <n v="37952.5"/>
    <n v="22771.5"/>
    <n v="7.99"/>
    <n v="4"/>
    <x v="3"/>
    <n v="4750"/>
  </r>
  <r>
    <x v="2"/>
    <x v="5"/>
    <s v="Victoria Aveyard"/>
    <x v="1"/>
    <x v="1"/>
    <n v="4.08"/>
    <n v="83354"/>
    <x v="0"/>
    <n v="19960"/>
    <n v="0"/>
    <n v="4.99"/>
    <n v="5"/>
    <x v="1"/>
    <n v="4000"/>
  </r>
  <r>
    <x v="4"/>
    <x v="6"/>
    <s v="Charles Duhigg"/>
    <x v="1"/>
    <x v="1"/>
    <n v="4.03"/>
    <n v="155977"/>
    <x v="0"/>
    <n v="27491.67"/>
    <n v="16495.002"/>
    <n v="6.99"/>
    <n v="6"/>
    <x v="0"/>
    <n v="3933"/>
  </r>
  <r>
    <x v="5"/>
    <x v="7"/>
    <s v="John Berendt"/>
    <x v="1"/>
    <x v="1"/>
    <n v="3.9"/>
    <n v="167997"/>
    <x v="2"/>
    <n v="26182"/>
    <n v="15709.2"/>
    <n v="6.89"/>
    <n v="8"/>
    <x v="2"/>
    <n v="3800"/>
  </r>
  <r>
    <x v="6"/>
    <x v="8"/>
    <s v="Colleen Hoover"/>
    <x v="1"/>
    <x v="1"/>
    <n v="4.34"/>
    <n v="189938"/>
    <x v="0"/>
    <n v="26093.67"/>
    <n v="15656.201999999999"/>
    <n v="6.99"/>
    <n v="9"/>
    <x v="0"/>
    <n v="3733"/>
  </r>
  <r>
    <x v="7"/>
    <x v="9"/>
    <s v="Frances Hodgson Burnett, Nancy Bond"/>
    <x v="1"/>
    <x v="1"/>
    <n v="4.2"/>
    <n v="199872"/>
    <x v="0"/>
    <n v="23792.34"/>
    <n v="14275.404"/>
    <n v="6.49"/>
    <n v="10"/>
    <x v="4"/>
    <n v="3666"/>
  </r>
  <r>
    <x v="8"/>
    <x v="10"/>
    <s v="Sarah Dessen"/>
    <x v="0"/>
    <x v="1"/>
    <n v="4.13"/>
    <n v="179415"/>
    <x v="0"/>
    <n v="17964"/>
    <n v="0"/>
    <n v="4.99"/>
    <n v="11"/>
    <x v="1"/>
    <n v="3600"/>
  </r>
  <r>
    <x v="9"/>
    <x v="11"/>
    <s v="C.S. Lewis"/>
    <x v="1"/>
    <x v="1"/>
    <n v="3.9"/>
    <n v="189671"/>
    <x v="1"/>
    <n v="21564"/>
    <n v="12938.4"/>
    <n v="5.99"/>
    <n v="11"/>
    <x v="3"/>
    <n v="3600"/>
  </r>
  <r>
    <x v="10"/>
    <x v="12"/>
    <s v="Richelle Mead"/>
    <x v="1"/>
    <x v="2"/>
    <n v="4.42"/>
    <n v="206792"/>
    <x v="0"/>
    <n v="3431.34"/>
    <n v="0"/>
    <n v="0.99"/>
    <n v="13"/>
    <x v="1"/>
    <n v="3466"/>
  </r>
  <r>
    <x v="11"/>
    <x v="13"/>
    <s v="Laura Ingalls Wilder, Garth Williams"/>
    <x v="1"/>
    <x v="1"/>
    <n v="4.18"/>
    <n v="195424"/>
    <x v="0"/>
    <n v="6897.34"/>
    <n v="4138.4040000000005"/>
    <n v="1.99"/>
    <n v="13"/>
    <x v="0"/>
    <n v="3466"/>
  </r>
  <r>
    <x v="12"/>
    <x v="14"/>
    <s v="Margery Williams Bianco, William   Nicholson"/>
    <x v="1"/>
    <x v="1"/>
    <n v="4.29"/>
    <n v="173469"/>
    <x v="0"/>
    <n v="21797.82"/>
    <n v="13078.691999999999"/>
    <n v="6.54"/>
    <n v="15"/>
    <x v="4"/>
    <n v="3333"/>
  </r>
  <r>
    <x v="13"/>
    <x v="15"/>
    <s v="Robert M. Pirsig"/>
    <x v="1"/>
    <x v="1"/>
    <n v="3.76"/>
    <n v="139411"/>
    <x v="0"/>
    <n v="16297.34"/>
    <n v="0"/>
    <n v="4.99"/>
    <n v="16"/>
    <x v="1"/>
    <n v="3266"/>
  </r>
  <r>
    <x v="14"/>
    <x v="16"/>
    <s v="H.G. Wells, Arthur C. Clarke"/>
    <x v="1"/>
    <x v="1"/>
    <n v="3.8"/>
    <n v="159752"/>
    <x v="0"/>
    <n v="15968"/>
    <n v="0"/>
    <n v="4.99"/>
    <n v="17"/>
    <x v="1"/>
    <n v="3200"/>
  </r>
  <r>
    <x v="15"/>
    <x v="17"/>
    <s v="Sara Shepard"/>
    <x v="0"/>
    <x v="1"/>
    <n v="3.9"/>
    <n v="156328"/>
    <x v="0"/>
    <n v="15968"/>
    <n v="0"/>
    <n v="4.99"/>
    <n v="17"/>
    <x v="1"/>
    <n v="3200"/>
  </r>
  <r>
    <x v="16"/>
    <x v="18"/>
    <s v="Don Freeman"/>
    <x v="0"/>
    <x v="1"/>
    <n v="4.28"/>
    <n v="160860"/>
    <x v="0"/>
    <n v="6234.67"/>
    <n v="3740.8020000000001"/>
    <n v="1.99"/>
    <n v="18"/>
    <x v="5"/>
    <n v="3133"/>
  </r>
  <r>
    <x v="15"/>
    <x v="19"/>
    <s v="Michael Pollan"/>
    <x v="1"/>
    <x v="1"/>
    <n v="4.17"/>
    <n v="133271"/>
    <x v="0"/>
    <n v="3035.34"/>
    <n v="0"/>
    <n v="0.99"/>
    <n v="19"/>
    <x v="1"/>
    <n v="3066"/>
  </r>
  <r>
    <x v="17"/>
    <x v="20"/>
    <s v="Kate Atkinson"/>
    <x v="1"/>
    <x v="1"/>
    <n v="3.74"/>
    <n v="138454"/>
    <x v="0"/>
    <n v="11702.67"/>
    <n v="0"/>
    <n v="3.99"/>
    <n v="21"/>
    <x v="1"/>
    <n v="2933"/>
  </r>
  <r>
    <x v="18"/>
    <x v="21"/>
    <s v="Nicholas Sparks"/>
    <x v="0"/>
    <x v="1"/>
    <n v="4.0999999999999996"/>
    <n v="142092"/>
    <x v="0"/>
    <n v="8569.34"/>
    <n v="0"/>
    <n v="2.99"/>
    <n v="22"/>
    <x v="1"/>
    <n v="2866"/>
  </r>
  <r>
    <x v="19"/>
    <x v="22"/>
    <s v="Stephen King"/>
    <x v="1"/>
    <x v="1"/>
    <n v="3.87"/>
    <n v="153821"/>
    <x v="0"/>
    <n v="2772"/>
    <n v="0"/>
    <n v="0.99"/>
    <n v="23"/>
    <x v="1"/>
    <n v="2800"/>
  </r>
  <r>
    <x v="20"/>
    <x v="23"/>
    <s v="Diana Gabaldon"/>
    <x v="1"/>
    <x v="1"/>
    <n v="4.38"/>
    <n v="157395"/>
    <x v="0"/>
    <n v="8171.67"/>
    <n v="0"/>
    <n v="2.99"/>
    <n v="24"/>
    <x v="1"/>
    <n v="2733"/>
  </r>
  <r>
    <x v="21"/>
    <x v="24"/>
    <s v="Kenneth Branagh, William Shakespeare"/>
    <x v="1"/>
    <x v="1"/>
    <n v="4.12"/>
    <n v="156869"/>
    <x v="0"/>
    <n v="2639.34"/>
    <n v="1583.604"/>
    <n v="0.99"/>
    <n v="25"/>
    <x v="1"/>
    <n v="2666"/>
  </r>
  <r>
    <x v="22"/>
    <x v="24"/>
    <s v="Stephen King"/>
    <x v="2"/>
    <x v="1"/>
    <n v="3.65"/>
    <n v="158215"/>
    <x v="0"/>
    <n v="7774"/>
    <n v="0"/>
    <n v="2.99"/>
    <n v="26"/>
    <x v="1"/>
    <n v="2600"/>
  </r>
  <r>
    <x v="20"/>
    <x v="25"/>
    <s v="Jeffrey Eugenides"/>
    <x v="1"/>
    <x v="1"/>
    <n v="3.83"/>
    <n v="159249"/>
    <x v="0"/>
    <n v="26904.06"/>
    <n v="16142.436"/>
    <n v="10.91"/>
    <n v="28"/>
    <x v="3"/>
    <n v="2466"/>
  </r>
  <r>
    <x v="8"/>
    <x v="26"/>
    <s v="Charlaine Harris"/>
    <x v="1"/>
    <x v="1"/>
    <n v="4.13"/>
    <n v="199572"/>
    <x v="0"/>
    <n v="2376"/>
    <n v="0"/>
    <n v="0.99"/>
    <n v="29"/>
    <x v="1"/>
    <n v="2400"/>
  </r>
  <r>
    <x v="23"/>
    <x v="27"/>
    <s v="Thomas Hardy, Tim Dolin, Margaret R. Higonnet"/>
    <x v="1"/>
    <x v="1"/>
    <n v="3.77"/>
    <n v="171599"/>
    <x v="2"/>
    <n v="9576"/>
    <n v="5745.6"/>
    <n v="3.99"/>
    <n v="29"/>
    <x v="2"/>
    <n v="2400"/>
  </r>
  <r>
    <x v="24"/>
    <x v="28"/>
    <s v="Gustave Flaubert, Margaret Mauldon, Malcolm Bowie, Mark Overstall"/>
    <x v="1"/>
    <x v="1"/>
    <n v="3.64"/>
    <n v="158877"/>
    <x v="0"/>
    <n v="9308.67"/>
    <n v="0"/>
    <n v="3.99"/>
    <n v="30"/>
    <x v="1"/>
    <n v="2333"/>
  </r>
  <r>
    <x v="25"/>
    <x v="29"/>
    <s v="Norton Juster, Jules Feiffer"/>
    <x v="0"/>
    <x v="1"/>
    <n v="4.22"/>
    <n v="178432"/>
    <x v="0"/>
    <n v="4509.34"/>
    <n v="0"/>
    <n v="1.99"/>
    <n v="31"/>
    <x v="1"/>
    <n v="2266"/>
  </r>
  <r>
    <x v="10"/>
    <x v="30"/>
    <s v="Brandon Sanderson"/>
    <x v="1"/>
    <x v="2"/>
    <n v="4.6399999999999997"/>
    <n v="144822"/>
    <x v="0"/>
    <n v="2178"/>
    <n v="0"/>
    <n v="0.99"/>
    <n v="32"/>
    <x v="1"/>
    <n v="2200"/>
  </r>
  <r>
    <x v="26"/>
    <x v="31"/>
    <s v="Charlaine Harris"/>
    <x v="3"/>
    <x v="1"/>
    <n v="4.03"/>
    <n v="181323"/>
    <x v="0"/>
    <n v="13178"/>
    <n v="7906.8"/>
    <n v="5.99"/>
    <n v="32"/>
    <x v="0"/>
    <n v="2200"/>
  </r>
  <r>
    <x v="15"/>
    <x v="32"/>
    <s v="Ned Vizzini"/>
    <x v="0"/>
    <x v="1"/>
    <n v="4.1399999999999997"/>
    <n v="161001"/>
    <x v="2"/>
    <n v="2045.34"/>
    <n v="1227.204"/>
    <n v="0.99"/>
    <n v="34"/>
    <x v="0"/>
    <n v="2066"/>
  </r>
  <r>
    <x v="27"/>
    <x v="33"/>
    <s v="Brandon Sanderson"/>
    <x v="1"/>
    <x v="1"/>
    <n v="4.3499999999999996"/>
    <n v="150736"/>
    <x v="0"/>
    <n v="17980"/>
    <n v="10788"/>
    <n v="8.99"/>
    <n v="35"/>
    <x v="4"/>
    <n v="2000"/>
  </r>
  <r>
    <x v="2"/>
    <x v="33"/>
    <s v="Jojo Moyes"/>
    <x v="1"/>
    <x v="1"/>
    <n v="3.7"/>
    <n v="99342"/>
    <x v="0"/>
    <n v="1964.16"/>
    <n v="0"/>
    <n v="0.99"/>
    <n v="36"/>
    <x v="1"/>
    <n v="1984"/>
  </r>
  <r>
    <x v="4"/>
    <x v="34"/>
    <s v="Vanessa Diffenbaugh"/>
    <x v="1"/>
    <x v="1"/>
    <n v="4.07"/>
    <n v="140076"/>
    <x v="0"/>
    <n v="1964.16"/>
    <n v="1178.4960000000001"/>
    <n v="0.99"/>
    <n v="36"/>
    <x v="1"/>
    <n v="1984"/>
  </r>
  <r>
    <x v="28"/>
    <x v="35"/>
    <s v="Frank Miller, Klaus Janson, Lynn Varley"/>
    <x v="1"/>
    <x v="1"/>
    <n v="4.25"/>
    <n v="135979"/>
    <x v="0"/>
    <n v="1949.31"/>
    <n v="0"/>
    <n v="0.99"/>
    <n v="37"/>
    <x v="1"/>
    <n v="1969"/>
  </r>
  <r>
    <x v="29"/>
    <x v="36"/>
    <s v="James Patterson"/>
    <x v="1"/>
    <x v="1"/>
    <n v="4.08"/>
    <n v="172302"/>
    <x v="0"/>
    <n v="1949.31"/>
    <n v="0"/>
    <n v="0.99"/>
    <n v="37"/>
    <x v="1"/>
    <n v="1969"/>
  </r>
  <r>
    <x v="30"/>
    <x v="37"/>
    <s v="Nick Hornby"/>
    <x v="1"/>
    <x v="1"/>
    <n v="3.94"/>
    <n v="134849"/>
    <x v="0"/>
    <n v="20309.55"/>
    <n v="12185.73"/>
    <n v="10.65"/>
    <n v="41"/>
    <x v="4"/>
    <n v="1907"/>
  </r>
  <r>
    <x v="26"/>
    <x v="38"/>
    <s v="Nicholas Sparks"/>
    <x v="0"/>
    <x v="1"/>
    <n v="4.1399999999999997"/>
    <n v="136427"/>
    <x v="0"/>
    <n v="1873.08"/>
    <n v="0"/>
    <n v="0.99"/>
    <n v="42"/>
    <x v="1"/>
    <n v="1892"/>
  </r>
  <r>
    <x v="26"/>
    <x v="39"/>
    <s v="Margaret Atwood"/>
    <x v="1"/>
    <x v="1"/>
    <n v="4"/>
    <n v="151500"/>
    <x v="0"/>
    <n v="7485.24"/>
    <n v="0"/>
    <n v="3.99"/>
    <n v="43"/>
    <x v="1"/>
    <n v="1876"/>
  </r>
  <r>
    <x v="31"/>
    <x v="40"/>
    <s v="John Gray"/>
    <x v="0"/>
    <x v="1"/>
    <n v="3.52"/>
    <n v="113915"/>
    <x v="0"/>
    <n v="3703.39"/>
    <n v="2222.0340000000001"/>
    <n v="1.99"/>
    <n v="44"/>
    <x v="1"/>
    <n v="1861"/>
  </r>
  <r>
    <x v="18"/>
    <x v="41"/>
    <s v="Anthony Bourdain"/>
    <x v="1"/>
    <x v="1"/>
    <n v="4"/>
    <n v="134177"/>
    <x v="0"/>
    <n v="11057.54"/>
    <n v="6634.5240000000003"/>
    <n v="5.99"/>
    <n v="45"/>
    <x v="0"/>
    <n v="1846"/>
  </r>
  <r>
    <x v="32"/>
    <x v="42"/>
    <s v="Michael Crichton"/>
    <x v="0"/>
    <x v="1"/>
    <n v="3.83"/>
    <n v="148563"/>
    <x v="0"/>
    <n v="12791.7"/>
    <n v="7675.02"/>
    <n v="6.99"/>
    <n v="46"/>
    <x v="1"/>
    <n v="1830"/>
  </r>
  <r>
    <x v="33"/>
    <x v="43"/>
    <s v="Voltaire"/>
    <x v="1"/>
    <x v="1"/>
    <n v="3.76"/>
    <n v="151471"/>
    <x v="0"/>
    <n v="8982"/>
    <n v="0"/>
    <n v="4.99"/>
    <n v="48"/>
    <x v="1"/>
    <n v="1800"/>
  </r>
  <r>
    <x v="0"/>
    <x v="44"/>
    <s v="Natalie Babbitt"/>
    <x v="1"/>
    <x v="1"/>
    <n v="3.85"/>
    <n v="174280"/>
    <x v="2"/>
    <n v="3582"/>
    <n v="2149.1999999999998"/>
    <n v="1.99"/>
    <n v="48"/>
    <x v="1"/>
    <n v="1800"/>
  </r>
  <r>
    <x v="34"/>
    <x v="45"/>
    <s v="Stephen King, Marie Milpois"/>
    <x v="4"/>
    <x v="1"/>
    <n v="3.72"/>
    <n v="151160"/>
    <x v="2"/>
    <n v="1766.16"/>
    <n v="1059.6959999999999"/>
    <n v="0.99"/>
    <n v="49"/>
    <x v="1"/>
    <n v="1784"/>
  </r>
  <r>
    <x v="35"/>
    <x v="46"/>
    <s v="P.D. Eastman"/>
    <x v="1"/>
    <x v="1"/>
    <n v="4.16"/>
    <n v="174204"/>
    <x v="0"/>
    <n v="10596.31"/>
    <n v="6357.7860000000001"/>
    <n v="5.99"/>
    <n v="50"/>
    <x v="3"/>
    <n v="1769"/>
  </r>
  <r>
    <x v="36"/>
    <x v="47"/>
    <s v="E.H. Gombrich"/>
    <x v="0"/>
    <x v="1"/>
    <n v="3.83"/>
    <n v="164708"/>
    <x v="0"/>
    <n v="15058.27"/>
    <n v="9034.9619999999995"/>
    <n v="8.59"/>
    <n v="51"/>
    <x v="2"/>
    <n v="1753"/>
  </r>
  <r>
    <x v="17"/>
    <x v="48"/>
    <s v="Marissa Meyer"/>
    <x v="1"/>
    <x v="1"/>
    <n v="4.3"/>
    <n v="193766"/>
    <x v="0"/>
    <n v="1720.62"/>
    <n v="1032.3720000000001"/>
    <n v="0.99"/>
    <n v="52"/>
    <x v="1"/>
    <n v="1738"/>
  </r>
  <r>
    <x v="37"/>
    <x v="49"/>
    <s v="Robert T. Kiyosaki"/>
    <x v="1"/>
    <x v="1"/>
    <n v="3.95"/>
    <n v="153764"/>
    <x v="0"/>
    <n v="1705.77"/>
    <n v="1023.462"/>
    <n v="0.99"/>
    <n v="53"/>
    <x v="4"/>
    <n v="1723"/>
  </r>
  <r>
    <x v="4"/>
    <x v="50"/>
    <s v="Becca Fitzpatrick"/>
    <x v="1"/>
    <x v="1"/>
    <n v="4.16"/>
    <n v="190722"/>
    <x v="0"/>
    <n v="8517.93"/>
    <n v="0"/>
    <n v="4.99"/>
    <n v="54"/>
    <x v="1"/>
    <n v="1707"/>
  </r>
  <r>
    <x v="38"/>
    <x v="51"/>
    <s v="Lev Grossman"/>
    <x v="1"/>
    <x v="0"/>
    <n v="3.47"/>
    <n v="147908"/>
    <x v="0"/>
    <n v="1675.08"/>
    <n v="1005.048"/>
    <n v="0.99"/>
    <n v="55"/>
    <x v="6"/>
    <n v="1692"/>
  </r>
  <r>
    <x v="8"/>
    <x v="52"/>
    <s v="Tsugumi Ohba, Takeshi Obata"/>
    <x v="1"/>
    <x v="2"/>
    <n v="4.42"/>
    <n v="139501"/>
    <x v="0"/>
    <n v="6687.24"/>
    <n v="0"/>
    <n v="3.99"/>
    <n v="56"/>
    <x v="1"/>
    <n v="1676"/>
  </r>
  <r>
    <x v="26"/>
    <x v="53"/>
    <s v="Libba Bray"/>
    <x v="1"/>
    <x v="1"/>
    <n v="3.79"/>
    <n v="173613"/>
    <x v="0"/>
    <n v="4966.3900000000003"/>
    <n v="2979.8339999999998"/>
    <n v="2.99"/>
    <n v="57"/>
    <x v="3"/>
    <n v="1661"/>
  </r>
  <r>
    <x v="39"/>
    <x v="54"/>
    <s v="Jonathan Safran Foer"/>
    <x v="1"/>
    <x v="1"/>
    <n v="3.9"/>
    <n v="131492"/>
    <x v="0"/>
    <n v="1629.54"/>
    <n v="977.72400000000005"/>
    <n v="0.99"/>
    <n v="58"/>
    <x v="1"/>
    <n v="1646"/>
  </r>
  <r>
    <x v="28"/>
    <x v="55"/>
    <s v="Robert Ludlum"/>
    <x v="0"/>
    <x v="1"/>
    <n v="4.09"/>
    <n v="142168"/>
    <x v="0"/>
    <n v="17783.3"/>
    <n v="10669.98"/>
    <n v="10.91"/>
    <n v="59"/>
    <x v="3"/>
    <n v="1630"/>
  </r>
  <r>
    <x v="6"/>
    <x v="56"/>
    <s v="Tammara Webber"/>
    <x v="5"/>
    <x v="1"/>
    <n v="4.1100000000000003"/>
    <n v="133937"/>
    <x v="0"/>
    <n v="1613.7"/>
    <n v="0"/>
    <n v="0.99"/>
    <n v="59"/>
    <x v="1"/>
    <n v="1630"/>
  </r>
  <r>
    <x v="40"/>
    <x v="57"/>
    <s v="Charles Dickens, Jeremy Tambling"/>
    <x v="1"/>
    <x v="1"/>
    <n v="3.96"/>
    <n v="150512"/>
    <x v="0"/>
    <n v="18394.849999999999"/>
    <n v="11036.91"/>
    <n v="11.39"/>
    <n v="60"/>
    <x v="2"/>
    <n v="1615"/>
  </r>
  <r>
    <x v="27"/>
    <x v="58"/>
    <s v="Sherman Alexie, Ellen Forney"/>
    <x v="1"/>
    <x v="1"/>
    <n v="4.1100000000000003"/>
    <n v="160607"/>
    <x v="0"/>
    <n v="10384"/>
    <n v="6230.4"/>
    <n v="6.49"/>
    <n v="61"/>
    <x v="4"/>
    <n v="1600"/>
  </r>
  <r>
    <x v="41"/>
    <x v="59"/>
    <s v="Mikhail Bulgakov, Katherine Tiernan O'Connor, Diana Burgin, Ellendea Proffer"/>
    <x v="1"/>
    <x v="1"/>
    <n v="4.32"/>
    <n v="131389"/>
    <x v="0"/>
    <n v="6320.16"/>
    <n v="0"/>
    <n v="3.99"/>
    <n v="62"/>
    <x v="1"/>
    <n v="1584"/>
  </r>
  <r>
    <x v="42"/>
    <x v="60"/>
    <s v="Ursula K. Le Guin"/>
    <x v="0"/>
    <x v="1"/>
    <n v="3.99"/>
    <n v="155042"/>
    <x v="0"/>
    <n v="4707"/>
    <n v="0"/>
    <n v="3"/>
    <n v="63"/>
    <x v="1"/>
    <n v="1569"/>
  </r>
  <r>
    <x v="18"/>
    <x v="61"/>
    <s v="Kate DiCamillo, Chris Sheban"/>
    <x v="1"/>
    <x v="1"/>
    <n v="4"/>
    <n v="154476"/>
    <x v="0"/>
    <n v="1522.62"/>
    <n v="0"/>
    <n v="0.99"/>
    <n v="65"/>
    <x v="1"/>
    <n v="1538"/>
  </r>
  <r>
    <x v="43"/>
    <x v="62"/>
    <s v="John Knowles"/>
    <x v="0"/>
    <x v="1"/>
    <n v="3.56"/>
    <n v="155901"/>
    <x v="0"/>
    <n v="5924.47"/>
    <n v="0"/>
    <n v="3.89"/>
    <n v="66"/>
    <x v="1"/>
    <n v="1523"/>
  </r>
  <r>
    <x v="30"/>
    <x v="63"/>
    <s v="John Grisham"/>
    <x v="1"/>
    <x v="1"/>
    <n v="3.91"/>
    <n v="137412"/>
    <x v="0"/>
    <n v="12040.93"/>
    <n v="0"/>
    <n v="7.99"/>
    <n v="67"/>
    <x v="1"/>
    <n v="1507"/>
  </r>
  <r>
    <x v="44"/>
    <x v="64"/>
    <s v="Miguel de Cervantes Saavedra, Roberto GonzÃ¡lez EchevarrÃ­a, John Rutherford"/>
    <x v="1"/>
    <x v="1"/>
    <n v="3.85"/>
    <n v="134931"/>
    <x v="0"/>
    <n v="13413.08"/>
    <n v="8047.848"/>
    <n v="8.99"/>
    <n v="68"/>
    <x v="2"/>
    <n v="1492"/>
  </r>
  <r>
    <x v="30"/>
    <x v="65"/>
    <s v="Robin Hobb"/>
    <x v="1"/>
    <x v="1"/>
    <n v="4.1399999999999997"/>
    <n v="132777"/>
    <x v="0"/>
    <n v="2907.39"/>
    <n v="0"/>
    <n v="1.99"/>
    <n v="70"/>
    <x v="1"/>
    <n v="1461"/>
  </r>
  <r>
    <x v="45"/>
    <x v="66"/>
    <s v="Douglas Adams"/>
    <x v="1"/>
    <x v="1"/>
    <n v="4.22"/>
    <n v="153838"/>
    <x v="0"/>
    <n v="11553.54"/>
    <n v="6932.1239999999998"/>
    <n v="7.99"/>
    <n v="71"/>
    <x v="3"/>
    <n v="1446"/>
  </r>
  <r>
    <x v="10"/>
    <x v="67"/>
    <s v="Lauren Kate"/>
    <x v="1"/>
    <x v="1"/>
    <n v="3.89"/>
    <n v="174393"/>
    <x v="0"/>
    <n v="5705.7"/>
    <n v="0"/>
    <n v="3.99"/>
    <n v="72"/>
    <x v="1"/>
    <n v="1430"/>
  </r>
  <r>
    <x v="46"/>
    <x v="68"/>
    <s v="Beatrix Potter"/>
    <x v="1"/>
    <x v="1"/>
    <n v="4.17"/>
    <n v="162373"/>
    <x v="0"/>
    <n v="9890.85"/>
    <n v="5934.51"/>
    <n v="6.99"/>
    <n v="73"/>
    <x v="3"/>
    <n v="1415"/>
  </r>
  <r>
    <x v="47"/>
    <x v="69"/>
    <s v="C.S. Lewis, Pauline Baynes"/>
    <x v="1"/>
    <x v="1"/>
    <n v="3.95"/>
    <n v="170453"/>
    <x v="0"/>
    <n v="5245.36"/>
    <n v="3147.2159999999999"/>
    <n v="3.79"/>
    <n v="75"/>
    <x v="2"/>
    <n v="1384"/>
  </r>
  <r>
    <x v="3"/>
    <x v="70"/>
    <s v="Brandon Sanderson"/>
    <x v="1"/>
    <x v="2"/>
    <n v="4.46"/>
    <n v="143622"/>
    <x v="2"/>
    <n v="5826.64"/>
    <n v="3495.9839999999999"/>
    <n v="4.21"/>
    <n v="75"/>
    <x v="1"/>
    <n v="1384"/>
  </r>
  <r>
    <x v="20"/>
    <x v="71"/>
    <s v="Susanna Kaysen"/>
    <x v="1"/>
    <x v="1"/>
    <n v="3.9"/>
    <n v="145161"/>
    <x v="0"/>
    <n v="2724.31"/>
    <n v="1634.586"/>
    <n v="1.99"/>
    <n v="76"/>
    <x v="2"/>
    <n v="1369"/>
  </r>
  <r>
    <x v="27"/>
    <x v="72"/>
    <s v="Chelsea Handler"/>
    <x v="0"/>
    <x v="1"/>
    <n v="3.85"/>
    <n v="127096"/>
    <x v="0"/>
    <n v="5462.31"/>
    <n v="3277.386"/>
    <n v="3.99"/>
    <n v="76"/>
    <x v="2"/>
    <n v="1369"/>
  </r>
  <r>
    <x v="48"/>
    <x v="73"/>
    <s v="Richard Bach, Russell Munson"/>
    <x v="0"/>
    <x v="1"/>
    <n v="3.8"/>
    <n v="133728"/>
    <x v="0"/>
    <n v="6751.47"/>
    <n v="0"/>
    <n v="4.99"/>
    <n v="77"/>
    <x v="1"/>
    <n v="1353"/>
  </r>
  <r>
    <x v="49"/>
    <x v="74"/>
    <s v="Cassandra Clare"/>
    <x v="1"/>
    <x v="2"/>
    <n v="4.4800000000000004"/>
    <n v="177796"/>
    <x v="0"/>
    <n v="6676.62"/>
    <n v="0"/>
    <n v="4.99"/>
    <n v="78"/>
    <x v="1"/>
    <n v="1338"/>
  </r>
  <r>
    <x v="28"/>
    <x v="75"/>
    <s v="Robert Munsch, Sheila McGraw"/>
    <x v="3"/>
    <x v="1"/>
    <n v="4.34"/>
    <n v="159703"/>
    <x v="0"/>
    <n v="1309.77"/>
    <n v="785.86199999999997"/>
    <n v="0.99"/>
    <n v="79"/>
    <x v="1"/>
    <n v="1323"/>
  </r>
  <r>
    <x v="15"/>
    <x v="76"/>
    <s v="Stephen King"/>
    <x v="0"/>
    <x v="1"/>
    <n v="3.64"/>
    <n v="144591"/>
    <x v="0"/>
    <n v="5933.78"/>
    <n v="3560.268"/>
    <n v="4.54"/>
    <n v="80"/>
    <x v="0"/>
    <n v="1307"/>
  </r>
  <r>
    <x v="17"/>
    <x v="77"/>
    <s v="Daniel James Brown"/>
    <x v="1"/>
    <x v="1"/>
    <n v="4.32"/>
    <n v="113565"/>
    <x v="0"/>
    <n v="8482.43"/>
    <n v="5089.4579999999996"/>
    <n v="6.49"/>
    <n v="80"/>
    <x v="2"/>
    <n v="1307"/>
  </r>
  <r>
    <x v="50"/>
    <x v="78"/>
    <s v="J.R.R. Tolkien, Christopher Tolkien, Ted Nasmith"/>
    <x v="1"/>
    <x v="1"/>
    <n v="3.87"/>
    <n v="134106"/>
    <x v="0"/>
    <n v="6447.08"/>
    <n v="3868.248"/>
    <n v="4.99"/>
    <n v="81"/>
    <x v="4"/>
    <n v="1292"/>
  </r>
  <r>
    <x v="1"/>
    <x v="79"/>
    <s v="Stephen King"/>
    <x v="1"/>
    <x v="1"/>
    <n v="4.2300000000000004"/>
    <n v="139052"/>
    <x v="2"/>
    <n v="2539.2399999999998"/>
    <n v="1523.5440000000001"/>
    <n v="1.99"/>
    <n v="82"/>
    <x v="0"/>
    <n v="1276"/>
  </r>
  <r>
    <x v="3"/>
    <x v="80"/>
    <s v="Kate Morton"/>
    <x v="3"/>
    <x v="1"/>
    <n v="4.12"/>
    <n v="138377"/>
    <x v="0"/>
    <n v="4907.7"/>
    <n v="0"/>
    <n v="3.99"/>
    <n v="85"/>
    <x v="1"/>
    <n v="1230"/>
  </r>
  <r>
    <x v="51"/>
    <x v="81"/>
    <s v="Franz Kafka, Edwin Muir, Willa Muir, Max Brod"/>
    <x v="1"/>
    <x v="1"/>
    <n v="3.98"/>
    <n v="131856"/>
    <x v="0"/>
    <n v="1202.8499999999999"/>
    <n v="0"/>
    <n v="0.99"/>
    <n v="86"/>
    <x v="1"/>
    <n v="1215"/>
  </r>
  <r>
    <x v="39"/>
    <x v="82"/>
    <s v="Sarah Dessen"/>
    <x v="1"/>
    <x v="1"/>
    <n v="4.03"/>
    <n v="151829"/>
    <x v="0"/>
    <n v="2417.85"/>
    <n v="1450.71"/>
    <n v="1.99"/>
    <n v="86"/>
    <x v="0"/>
    <n v="1215"/>
  </r>
  <r>
    <x v="18"/>
    <x v="83"/>
    <s v="Jodi Picoult"/>
    <x v="1"/>
    <x v="1"/>
    <n v="3.97"/>
    <n v="128406"/>
    <x v="0"/>
    <n v="1188"/>
    <n v="0"/>
    <n v="0.99"/>
    <n v="87"/>
    <x v="1"/>
    <n v="1200"/>
  </r>
  <r>
    <x v="10"/>
    <x v="84"/>
    <s v="Piper Kerman"/>
    <x v="1"/>
    <x v="1"/>
    <n v="3.7"/>
    <n v="127186"/>
    <x v="1"/>
    <n v="2388"/>
    <n v="0"/>
    <n v="1.99"/>
    <n v="87"/>
    <x v="1"/>
    <n v="1200"/>
  </r>
  <r>
    <x v="52"/>
    <x v="85"/>
    <s v="Arthur Conan Doyle, Anne Perry"/>
    <x v="1"/>
    <x v="1"/>
    <n v="4.09"/>
    <n v="154517"/>
    <x v="0"/>
    <n v="2356.16"/>
    <n v="1413.6959999999999"/>
    <n v="1.99"/>
    <n v="88"/>
    <x v="6"/>
    <n v="1184"/>
  </r>
  <r>
    <x v="4"/>
    <x v="86"/>
    <s v="Daniel Kahneman"/>
    <x v="1"/>
    <x v="1"/>
    <n v="4.08"/>
    <n v="136950"/>
    <x v="0"/>
    <n v="1157.31"/>
    <n v="694.38599999999997"/>
    <n v="0.99"/>
    <n v="89"/>
    <x v="1"/>
    <n v="1169"/>
  </r>
  <r>
    <x v="53"/>
    <x v="87"/>
    <s v="Marion Zimmer Bradley"/>
    <x v="1"/>
    <x v="1"/>
    <n v="4.12"/>
    <n v="157736"/>
    <x v="0"/>
    <n v="1157.31"/>
    <n v="694.38599999999997"/>
    <n v="0.99"/>
    <n v="89"/>
    <x v="1"/>
    <n v="1169"/>
  </r>
  <r>
    <x v="48"/>
    <x v="88"/>
    <s v="Judy Blume"/>
    <x v="1"/>
    <x v="1"/>
    <n v="3.89"/>
    <n v="151789"/>
    <x v="0"/>
    <n v="1111.77"/>
    <n v="0"/>
    <n v="0.99"/>
    <n v="92"/>
    <x v="1"/>
    <n v="1123"/>
  </r>
  <r>
    <x v="39"/>
    <x v="89"/>
    <s v="Nicholas Sparks"/>
    <x v="1"/>
    <x v="1"/>
    <n v="3.82"/>
    <n v="129807"/>
    <x v="0"/>
    <n v="5603.77"/>
    <n v="3362.2620000000002"/>
    <n v="4.99"/>
    <n v="92"/>
    <x v="1"/>
    <n v="1123"/>
  </r>
  <r>
    <x v="49"/>
    <x v="90"/>
    <s v="Stephen King"/>
    <x v="1"/>
    <x v="1"/>
    <n v="3.92"/>
    <n v="125847"/>
    <x v="0"/>
    <n v="2202.9299999999998"/>
    <n v="1321.758"/>
    <n v="1.99"/>
    <n v="93"/>
    <x v="6"/>
    <n v="1107"/>
  </r>
  <r>
    <x v="27"/>
    <x v="91"/>
    <s v="Charlaine Harris"/>
    <x v="1"/>
    <x v="1"/>
    <n v="4.05"/>
    <n v="162689"/>
    <x v="0"/>
    <n v="6983.24"/>
    <n v="4189.9440000000004"/>
    <n v="6.49"/>
    <n v="95"/>
    <x v="4"/>
    <n v="1076"/>
  </r>
  <r>
    <x v="37"/>
    <x v="92"/>
    <s v="Chris Bohjalian"/>
    <x v="0"/>
    <x v="1"/>
    <n v="3.97"/>
    <n v="133155"/>
    <x v="0"/>
    <n v="6885.89"/>
    <n v="4131.5339999999997"/>
    <n v="6.49"/>
    <n v="96"/>
    <x v="4"/>
    <n v="1061"/>
  </r>
  <r>
    <x v="54"/>
    <x v="93"/>
    <s v="Chris Van Allsburg"/>
    <x v="0"/>
    <x v="1"/>
    <n v="4.29"/>
    <n v="168001"/>
    <x v="2"/>
    <n v="1035.54"/>
    <n v="621.32399999999996"/>
    <n v="0.99"/>
    <n v="97"/>
    <x v="1"/>
    <n v="1046"/>
  </r>
  <r>
    <x v="55"/>
    <x v="94"/>
    <s v="Jon Scieszka, Lane Smith"/>
    <x v="3"/>
    <x v="1"/>
    <n v="4.29"/>
    <n v="141945"/>
    <x v="0"/>
    <n v="1019.7"/>
    <n v="0"/>
    <n v="0.99"/>
    <n v="98"/>
    <x v="1"/>
    <n v="1030"/>
  </r>
  <r>
    <x v="1"/>
    <x v="95"/>
    <s v="Tom Clancy"/>
    <x v="1"/>
    <x v="1"/>
    <n v="4.1100000000000003"/>
    <n v="141674"/>
    <x v="0"/>
    <n v="6079.85"/>
    <n v="0"/>
    <n v="5.99"/>
    <n v="99"/>
    <x v="1"/>
    <n v="1015"/>
  </r>
  <r>
    <x v="31"/>
    <x v="96"/>
    <s v="Paulo Coelho, Margaret Jull Costa"/>
    <x v="1"/>
    <x v="1"/>
    <n v="3.69"/>
    <n v="111856"/>
    <x v="0"/>
    <n v="6932.45"/>
    <n v="4159.47"/>
    <n v="6.83"/>
    <n v="99"/>
    <x v="3"/>
    <n v="1015"/>
  </r>
  <r>
    <x v="17"/>
    <x v="97"/>
    <s v="Sheryl Sandberg, Nell Scovell"/>
    <x v="1"/>
    <x v="1"/>
    <n v="3.94"/>
    <n v="135635"/>
    <x v="0"/>
    <n v="985.05"/>
    <n v="0"/>
    <n v="0.99"/>
    <n v="101"/>
    <x v="1"/>
    <n v="995"/>
  </r>
  <r>
    <x v="29"/>
    <x v="98"/>
    <s v="Charlaine Harris"/>
    <x v="1"/>
    <x v="1"/>
    <n v="4.01"/>
    <n v="169560"/>
    <x v="0"/>
    <n v="5068.8"/>
    <n v="3041.28"/>
    <n v="5.12"/>
    <n v="102"/>
    <x v="3"/>
    <n v="990"/>
  </r>
  <r>
    <x v="4"/>
    <x v="99"/>
    <s v="Tahereh Mafi"/>
    <x v="0"/>
    <x v="1"/>
    <n v="4.01"/>
    <n v="176433"/>
    <x v="1"/>
    <n v="2195.1999999999998"/>
    <n v="1317.12"/>
    <n v="2.2400000000000002"/>
    <n v="104"/>
    <x v="1"/>
    <n v="980"/>
  </r>
  <r>
    <x v="43"/>
    <x v="100"/>
    <s v="Robert A. Heinlein"/>
    <x v="5"/>
    <x v="1"/>
    <n v="3.99"/>
    <n v="136886"/>
    <x v="0"/>
    <n v="7312.5"/>
    <n v="4387.5"/>
    <n v="7.5"/>
    <n v="105"/>
    <x v="2"/>
    <n v="975"/>
  </r>
  <r>
    <x v="4"/>
    <x v="101"/>
    <s v="Sophie Kinsella"/>
    <x v="1"/>
    <x v="1"/>
    <n v="3.93"/>
    <n v="144533"/>
    <x v="0"/>
    <n v="960.3"/>
    <n v="0"/>
    <n v="0.99"/>
    <n v="106"/>
    <x v="1"/>
    <n v="970"/>
  </r>
  <r>
    <x v="19"/>
    <x v="102"/>
    <s v="Jostein Gaarder, Paulette MÃ¸ller"/>
    <x v="1"/>
    <x v="1"/>
    <n v="3.88"/>
    <n v="109692"/>
    <x v="0"/>
    <n v="10224"/>
    <n v="6134.4"/>
    <n v="10.65"/>
    <n v="108"/>
    <x v="3"/>
    <n v="960"/>
  </r>
  <r>
    <x v="4"/>
    <x v="103"/>
    <s v="Mark Cotta Vaz"/>
    <x v="1"/>
    <x v="1"/>
    <n v="4.3"/>
    <n v="188136"/>
    <x v="0"/>
    <n v="7670.4"/>
    <n v="4602.24"/>
    <n v="7.99"/>
    <n v="108"/>
    <x v="3"/>
    <n v="960"/>
  </r>
  <r>
    <x v="36"/>
    <x v="103"/>
    <s v="Ray Bradbury"/>
    <x v="0"/>
    <x v="1"/>
    <n v="4.12"/>
    <n v="143236"/>
    <x v="0"/>
    <n v="1880.55"/>
    <n v="0"/>
    <n v="1.99"/>
    <n v="111"/>
    <x v="1"/>
    <n v="945"/>
  </r>
  <r>
    <x v="10"/>
    <x v="104"/>
    <s v="Jennifer Egan"/>
    <x v="1"/>
    <x v="1"/>
    <n v="3.64"/>
    <n v="120126"/>
    <x v="0"/>
    <n v="4690.6000000000004"/>
    <n v="2814.36"/>
    <n v="4.99"/>
    <n v="112"/>
    <x v="6"/>
    <n v="940"/>
  </r>
  <r>
    <x v="56"/>
    <x v="105"/>
    <s v="Johanna Spyri, Angelo  Rinaldi, Beverly Cleary"/>
    <x v="1"/>
    <x v="1"/>
    <n v="3.97"/>
    <n v="144497"/>
    <x v="0"/>
    <n v="3730.65"/>
    <n v="2238.39"/>
    <n v="3.99"/>
    <n v="113"/>
    <x v="3"/>
    <n v="935"/>
  </r>
  <r>
    <x v="39"/>
    <x v="106"/>
    <s v="Michael Crichton"/>
    <x v="1"/>
    <x v="1"/>
    <n v="3.72"/>
    <n v="131352"/>
    <x v="0"/>
    <n v="1850.7"/>
    <n v="0"/>
    <n v="1.99"/>
    <n v="114"/>
    <x v="1"/>
    <n v="930"/>
  </r>
  <r>
    <x v="57"/>
    <x v="107"/>
    <s v="C.S. Lewis"/>
    <x v="1"/>
    <x v="1"/>
    <n v="4.0199999999999996"/>
    <n v="158701"/>
    <x v="0"/>
    <n v="5980"/>
    <n v="3588"/>
    <n v="6.5"/>
    <n v="116"/>
    <x v="1"/>
    <n v="920"/>
  </r>
  <r>
    <x v="27"/>
    <x v="108"/>
    <s v="Ken Follett"/>
    <x v="1"/>
    <x v="1"/>
    <n v="4.2300000000000004"/>
    <n v="128715"/>
    <x v="0"/>
    <n v="905.85"/>
    <n v="543.51"/>
    <n v="0.99"/>
    <n v="117"/>
    <x v="4"/>
    <n v="915"/>
  </r>
  <r>
    <x v="3"/>
    <x v="109"/>
    <s v="P.C. Cast, Kristin Cast"/>
    <x v="0"/>
    <x v="1"/>
    <n v="3.9"/>
    <n v="180961"/>
    <x v="1"/>
    <n v="7759.2"/>
    <n v="4655.5200000000004"/>
    <n v="8.48"/>
    <n v="117"/>
    <x v="1"/>
    <n v="915"/>
  </r>
  <r>
    <x v="6"/>
    <x v="110"/>
    <s v="Colleen Hoover"/>
    <x v="1"/>
    <x v="1"/>
    <n v="4.29"/>
    <n v="153882"/>
    <x v="0"/>
    <n v="900.9"/>
    <n v="0"/>
    <n v="0.99"/>
    <n v="118"/>
    <x v="1"/>
    <n v="910"/>
  </r>
  <r>
    <x v="27"/>
    <x v="111"/>
    <s v="Alex Flinn"/>
    <x v="1"/>
    <x v="1"/>
    <n v="3.84"/>
    <n v="150003"/>
    <x v="0"/>
    <n v="895.95"/>
    <n v="537.57000000000005"/>
    <n v="0.99"/>
    <n v="119"/>
    <x v="1"/>
    <n v="905"/>
  </r>
  <r>
    <x v="58"/>
    <x v="112"/>
    <s v="Geoffrey Chaucer, Nevill Coghill"/>
    <x v="1"/>
    <x v="0"/>
    <n v="3.48"/>
    <n v="148480"/>
    <x v="0"/>
    <n v="891"/>
    <n v="0"/>
    <n v="0.99"/>
    <n v="120"/>
    <x v="1"/>
    <n v="900"/>
  </r>
  <r>
    <x v="15"/>
    <x v="113"/>
    <s v="Emily Giffin"/>
    <x v="0"/>
    <x v="1"/>
    <n v="3.71"/>
    <n v="124371"/>
    <x v="2"/>
    <n v="5841"/>
    <n v="3504.6"/>
    <n v="6.49"/>
    <n v="120"/>
    <x v="6"/>
    <n v="900"/>
  </r>
  <r>
    <x v="4"/>
    <x v="114"/>
    <s v="Christopher Paolini"/>
    <x v="0"/>
    <x v="1"/>
    <n v="4.08"/>
    <n v="146905"/>
    <x v="2"/>
    <n v="10731.05"/>
    <n v="6438.63"/>
    <n v="11.99"/>
    <n v="121"/>
    <x v="4"/>
    <n v="895"/>
  </r>
  <r>
    <x v="38"/>
    <x v="115"/>
    <s v="Haruki Murakami, Jay Rubin, Philip Gabriel"/>
    <x v="1"/>
    <x v="1"/>
    <n v="3.89"/>
    <n v="125195"/>
    <x v="0"/>
    <n v="2661.1"/>
    <n v="0"/>
    <n v="2.99"/>
    <n v="122"/>
    <x v="1"/>
    <n v="890"/>
  </r>
  <r>
    <x v="59"/>
    <x v="116"/>
    <s v="Harriet Beecher Stowe"/>
    <x v="1"/>
    <x v="1"/>
    <n v="3.83"/>
    <n v="137858"/>
    <x v="1"/>
    <n v="1771.1"/>
    <n v="1062.6600000000001"/>
    <n v="1.99"/>
    <n v="122"/>
    <x v="0"/>
    <n v="890"/>
  </r>
  <r>
    <x v="60"/>
    <x v="117"/>
    <s v="Gaston Leroux, Alexander Teixeira de Mattos"/>
    <x v="1"/>
    <x v="1"/>
    <n v="3.97"/>
    <n v="141110"/>
    <x v="0"/>
    <n v="3531.15"/>
    <n v="0"/>
    <n v="3.99"/>
    <n v="123"/>
    <x v="1"/>
    <n v="885"/>
  </r>
  <r>
    <x v="15"/>
    <x v="118"/>
    <s v="Charlaine Harris"/>
    <x v="0"/>
    <x v="1"/>
    <n v="4.0199999999999996"/>
    <n v="163054"/>
    <x v="0"/>
    <n v="6525"/>
    <n v="3915"/>
    <n v="7.5"/>
    <n v="126"/>
    <x v="5"/>
    <n v="870"/>
  </r>
  <r>
    <x v="30"/>
    <x v="119"/>
    <s v="JosÃ© Saramago, Giovanni Pontiero"/>
    <x v="0"/>
    <x v="1"/>
    <n v="4.08"/>
    <n v="98738"/>
    <x v="0"/>
    <n v="3451.35"/>
    <n v="0"/>
    <n v="3.99"/>
    <n v="127"/>
    <x v="1"/>
    <n v="865"/>
  </r>
  <r>
    <x v="10"/>
    <x v="120"/>
    <s v="Jonathan Franzen"/>
    <x v="0"/>
    <x v="1"/>
    <n v="3.73"/>
    <n v="119213"/>
    <x v="0"/>
    <n v="6871.4"/>
    <n v="4122.84"/>
    <n v="7.99"/>
    <n v="128"/>
    <x v="4"/>
    <n v="860"/>
  </r>
  <r>
    <x v="4"/>
    <x v="121"/>
    <s v="Ally Condie"/>
    <x v="1"/>
    <x v="1"/>
    <n v="3.52"/>
    <n v="100886"/>
    <x v="0"/>
    <n v="841.5"/>
    <n v="504.9"/>
    <n v="0.99"/>
    <n v="130"/>
    <x v="1"/>
    <n v="850"/>
  </r>
  <r>
    <x v="15"/>
    <x v="122"/>
    <s v="Ally Carter"/>
    <x v="0"/>
    <x v="1"/>
    <n v="3.82"/>
    <n v="150222"/>
    <x v="0"/>
    <n v="10131.549999999999"/>
    <n v="6078.93"/>
    <n v="11.99"/>
    <n v="131"/>
    <x v="2"/>
    <n v="845"/>
  </r>
  <r>
    <x v="3"/>
    <x v="123"/>
    <s v="Aravind Adiga"/>
    <x v="1"/>
    <x v="1"/>
    <n v="3.71"/>
    <n v="114531"/>
    <x v="0"/>
    <n v="6711.6"/>
    <n v="4026.96"/>
    <n v="7.99"/>
    <n v="132"/>
    <x v="4"/>
    <n v="840"/>
  </r>
  <r>
    <x v="61"/>
    <x v="124"/>
    <s v="Jonathan Franzen"/>
    <x v="1"/>
    <x v="1"/>
    <n v="3.78"/>
    <n v="117657"/>
    <x v="0"/>
    <n v="816.75"/>
    <n v="0"/>
    <n v="0.99"/>
    <n v="135"/>
    <x v="1"/>
    <n v="825"/>
  </r>
  <r>
    <x v="30"/>
    <x v="125"/>
    <s v="Barack Obama"/>
    <x v="1"/>
    <x v="1"/>
    <n v="3.81"/>
    <n v="128961"/>
    <x v="2"/>
    <n v="1641.75"/>
    <n v="985.05"/>
    <n v="1.99"/>
    <n v="135"/>
    <x v="0"/>
    <n v="825"/>
  </r>
  <r>
    <x v="45"/>
    <x v="126"/>
    <s v="Michael Crichton"/>
    <x v="1"/>
    <x v="1"/>
    <n v="3.55"/>
    <n v="129811"/>
    <x v="2"/>
    <n v="5696.85"/>
    <n v="3418.11"/>
    <n v="6.99"/>
    <n v="137"/>
    <x v="4"/>
    <n v="815"/>
  </r>
  <r>
    <x v="62"/>
    <x v="127"/>
    <s v="Judith Viorst, Ray Cruz"/>
    <x v="5"/>
    <x v="1"/>
    <n v="4.22"/>
    <n v="146073"/>
    <x v="0"/>
    <n v="2421.9"/>
    <n v="0"/>
    <n v="2.99"/>
    <n v="138"/>
    <x v="1"/>
    <n v="810"/>
  </r>
  <r>
    <x v="32"/>
    <x v="128"/>
    <s v="Jhumpa Lahiri"/>
    <x v="1"/>
    <x v="1"/>
    <n v="4.12"/>
    <n v="110651"/>
    <x v="0"/>
    <n v="8573.25"/>
    <n v="5143.95"/>
    <n v="10.65"/>
    <n v="139"/>
    <x v="3"/>
    <n v="805"/>
  </r>
  <r>
    <x v="45"/>
    <x v="129"/>
    <s v="Howard Zinn"/>
    <x v="1"/>
    <x v="1"/>
    <n v="4.07"/>
    <n v="137372"/>
    <x v="0"/>
    <n v="3192"/>
    <n v="0"/>
    <n v="3.99"/>
    <n v="140"/>
    <x v="1"/>
    <n v="800"/>
  </r>
  <r>
    <x v="63"/>
    <x v="130"/>
    <s v="Truman Capote"/>
    <x v="1"/>
    <x v="1"/>
    <n v="3.89"/>
    <n v="129778"/>
    <x v="0"/>
    <n v="792"/>
    <n v="475.2"/>
    <n v="0.99"/>
    <n v="140"/>
    <x v="1"/>
    <n v="800"/>
  </r>
  <r>
    <x v="10"/>
    <x v="131"/>
    <s v="Justin Cronin"/>
    <x v="1"/>
    <x v="1"/>
    <n v="4.04"/>
    <n v="126993"/>
    <x v="0"/>
    <n v="3172.05"/>
    <n v="0"/>
    <n v="3.99"/>
    <n v="141"/>
    <x v="1"/>
    <n v="795"/>
  </r>
  <r>
    <x v="29"/>
    <x v="132"/>
    <s v="Neil Gaiman"/>
    <x v="1"/>
    <x v="1"/>
    <n v="4"/>
    <n v="137639"/>
    <x v="2"/>
    <n v="1572.1"/>
    <n v="943.26"/>
    <n v="1.99"/>
    <n v="142"/>
    <x v="1"/>
    <n v="790"/>
  </r>
  <r>
    <x v="38"/>
    <x v="133"/>
    <s v="Sarah Dessen"/>
    <x v="1"/>
    <x v="1"/>
    <n v="4.08"/>
    <n v="151721"/>
    <x v="0"/>
    <n v="9412.15"/>
    <n v="5647.29"/>
    <n v="11.99"/>
    <n v="143"/>
    <x v="3"/>
    <n v="785"/>
  </r>
  <r>
    <x v="49"/>
    <x v="134"/>
    <s v="Celeste Ng"/>
    <x v="1"/>
    <x v="1"/>
    <n v="3.78"/>
    <n v="108703"/>
    <x v="0"/>
    <n v="3112.2"/>
    <n v="0"/>
    <n v="3.99"/>
    <n v="144"/>
    <x v="1"/>
    <n v="780"/>
  </r>
  <r>
    <x v="53"/>
    <x v="135"/>
    <s v="Isabel Allende, Magda Bogin"/>
    <x v="0"/>
    <x v="1"/>
    <n v="4.2"/>
    <n v="119930"/>
    <x v="0"/>
    <n v="8269.25"/>
    <n v="4961.55"/>
    <n v="10.67"/>
    <n v="145"/>
    <x v="5"/>
    <n v="775"/>
  </r>
  <r>
    <x v="64"/>
    <x v="136"/>
    <s v="Stephen King"/>
    <x v="0"/>
    <x v="1"/>
    <n v="3.9"/>
    <n v="132723"/>
    <x v="0"/>
    <n v="1512.4"/>
    <n v="907.44"/>
    <n v="1.99"/>
    <n v="148"/>
    <x v="0"/>
    <n v="760"/>
  </r>
  <r>
    <x v="65"/>
    <x v="137"/>
    <s v="Agatha Christie, Î¡Î¿Î¶Î¯Ï„Î± Î£ÏŽÎºÎ¿Ï…"/>
    <x v="1"/>
    <x v="1"/>
    <n v="3.98"/>
    <n v="135514"/>
    <x v="0"/>
    <n v="3012.45"/>
    <n v="0"/>
    <n v="3.99"/>
    <n v="149"/>
    <x v="1"/>
    <n v="755"/>
  </r>
  <r>
    <x v="66"/>
    <x v="138"/>
    <s v="Agatha Christie"/>
    <x v="1"/>
    <x v="1"/>
    <n v="4.16"/>
    <n v="138444"/>
    <x v="0"/>
    <n v="3742.5"/>
    <n v="0"/>
    <n v="4.99"/>
    <n v="150"/>
    <x v="1"/>
    <n v="750"/>
  </r>
  <r>
    <x v="17"/>
    <x v="139"/>
    <s v="Chimamanda Ngozi Adichie"/>
    <x v="1"/>
    <x v="1"/>
    <n v="4.26"/>
    <n v="113252"/>
    <x v="0"/>
    <n v="2992.5"/>
    <n v="0"/>
    <n v="3.99"/>
    <n v="150"/>
    <x v="1"/>
    <n v="750"/>
  </r>
  <r>
    <x v="61"/>
    <x v="140"/>
    <s v="James Patterson"/>
    <x v="1"/>
    <x v="1"/>
    <n v="4.16"/>
    <n v="121398"/>
    <x v="0"/>
    <n v="3717.55"/>
    <n v="2230.5300000000002"/>
    <n v="4.99"/>
    <n v="151"/>
    <x v="4"/>
    <n v="745"/>
  </r>
  <r>
    <x v="45"/>
    <x v="141"/>
    <s v="Stephen King"/>
    <x v="1"/>
    <x v="1"/>
    <n v="3.85"/>
    <n v="142213"/>
    <x v="0"/>
    <n v="2952.6"/>
    <n v="1771.56"/>
    <n v="3.99"/>
    <n v="152"/>
    <x v="6"/>
    <n v="740"/>
  </r>
  <r>
    <x v="17"/>
    <x v="142"/>
    <s v="Sylvia Day"/>
    <x v="1"/>
    <x v="1"/>
    <n v="4.1900000000000004"/>
    <n v="141641"/>
    <x v="0"/>
    <n v="727.65"/>
    <n v="0"/>
    <n v="0.99"/>
    <n v="153"/>
    <x v="1"/>
    <n v="735"/>
  </r>
  <r>
    <x v="38"/>
    <x v="143"/>
    <s v="Christopher McDougall"/>
    <x v="1"/>
    <x v="1"/>
    <n v="4.2699999999999996"/>
    <n v="109642"/>
    <x v="0"/>
    <n v="3642.7"/>
    <n v="0"/>
    <n v="4.99"/>
    <n v="154"/>
    <x v="1"/>
    <n v="730"/>
  </r>
  <r>
    <x v="49"/>
    <x v="144"/>
    <s v="Gabrielle Zevin"/>
    <x v="1"/>
    <x v="1"/>
    <n v="3.98"/>
    <n v="115393"/>
    <x v="0"/>
    <n v="5444.75"/>
    <n v="3266.85"/>
    <n v="7.51"/>
    <n v="155"/>
    <x v="4"/>
    <n v="725"/>
  </r>
  <r>
    <x v="67"/>
    <x v="145"/>
    <s v="Ludwig Bemelmans"/>
    <x v="3"/>
    <x v="1"/>
    <n v="4.22"/>
    <n v="156726"/>
    <x v="0"/>
    <n v="712.8"/>
    <n v="0"/>
    <n v="0.99"/>
    <n v="156"/>
    <x v="1"/>
    <n v="720"/>
  </r>
  <r>
    <x v="68"/>
    <x v="146"/>
    <s v="Napoleon Hill"/>
    <x v="1"/>
    <x v="1"/>
    <n v="4.17"/>
    <n v="87445"/>
    <x v="0"/>
    <n v="702.9"/>
    <n v="0"/>
    <n v="0.99"/>
    <n v="158"/>
    <x v="1"/>
    <n v="710"/>
  </r>
  <r>
    <x v="69"/>
    <x v="147"/>
    <s v="Laura Ingalls Wilder, Garth Williams"/>
    <x v="1"/>
    <x v="1"/>
    <n v="4.16"/>
    <n v="165127"/>
    <x v="0"/>
    <n v="697.95"/>
    <n v="418.77"/>
    <n v="0.99"/>
    <n v="159"/>
    <x v="1"/>
    <n v="705"/>
  </r>
  <r>
    <x v="8"/>
    <x v="148"/>
    <s v="Susanna Clarke"/>
    <x v="1"/>
    <x v="1"/>
    <n v="3.8"/>
    <n v="133683"/>
    <x v="0"/>
    <n v="5593"/>
    <n v="3355.8"/>
    <n v="7.99"/>
    <n v="160"/>
    <x v="2"/>
    <n v="700"/>
  </r>
  <r>
    <x v="61"/>
    <x v="149"/>
    <s v="Nicholas Sparks"/>
    <x v="1"/>
    <x v="1"/>
    <n v="4.0199999999999996"/>
    <n v="116800"/>
    <x v="0"/>
    <n v="1353.2"/>
    <n v="811.92"/>
    <n v="1.99"/>
    <n v="164"/>
    <x v="0"/>
    <n v="680"/>
  </r>
  <r>
    <x v="17"/>
    <x v="150"/>
    <s v="Rick Riordan"/>
    <x v="1"/>
    <x v="2"/>
    <n v="4.54"/>
    <n v="159774"/>
    <x v="2"/>
    <n v="668.25"/>
    <n v="400.95"/>
    <n v="0.99"/>
    <n v="165"/>
    <x v="1"/>
    <n v="675"/>
  </r>
  <r>
    <x v="3"/>
    <x v="151"/>
    <s v="Michael  Grant"/>
    <x v="1"/>
    <x v="1"/>
    <n v="3.85"/>
    <n v="144606"/>
    <x v="0"/>
    <n v="3678.3"/>
    <n v="2206.98"/>
    <n v="5.49"/>
    <n v="166"/>
    <x v="1"/>
    <n v="670"/>
  </r>
  <r>
    <x v="26"/>
    <x v="152"/>
    <s v="Nicholas Sparks"/>
    <x v="0"/>
    <x v="1"/>
    <n v="3.98"/>
    <n v="118045"/>
    <x v="0"/>
    <n v="658.35"/>
    <n v="395.01"/>
    <n v="0.99"/>
    <n v="167"/>
    <x v="1"/>
    <n v="665"/>
  </r>
  <r>
    <x v="29"/>
    <x v="153"/>
    <s v="David McCullough"/>
    <x v="1"/>
    <x v="1"/>
    <n v="4.0599999999999996"/>
    <n v="130293"/>
    <x v="0"/>
    <n v="7814.4"/>
    <n v="4688.6400000000003"/>
    <n v="11.84"/>
    <n v="168"/>
    <x v="4"/>
    <n v="660"/>
  </r>
  <r>
    <x v="26"/>
    <x v="154"/>
    <s v="Jon Krakauer"/>
    <x v="1"/>
    <x v="1"/>
    <n v="3.98"/>
    <n v="112167"/>
    <x v="0"/>
    <n v="648.45000000000005"/>
    <n v="0"/>
    <n v="0.99"/>
    <n v="169"/>
    <x v="1"/>
    <n v="655"/>
  </r>
  <r>
    <x v="6"/>
    <x v="155"/>
    <s v="Jess Walter"/>
    <x v="1"/>
    <x v="1"/>
    <n v="3.67"/>
    <n v="116053"/>
    <x v="0"/>
    <n v="9818.4500000000007"/>
    <n v="5891.07"/>
    <n v="14.99"/>
    <n v="169"/>
    <x v="4"/>
    <n v="655"/>
  </r>
  <r>
    <x v="15"/>
    <x v="156"/>
    <s v="Barack Obama"/>
    <x v="0"/>
    <x v="1"/>
    <n v="3.69"/>
    <n v="110873"/>
    <x v="0"/>
    <n v="3243.5"/>
    <n v="0"/>
    <n v="4.99"/>
    <n v="170"/>
    <x v="1"/>
    <n v="650"/>
  </r>
  <r>
    <x v="32"/>
    <x v="157"/>
    <s v="Stephen King"/>
    <x v="1"/>
    <x v="1"/>
    <n v="4.3099999999999996"/>
    <n v="131481"/>
    <x v="0"/>
    <n v="1943.5"/>
    <n v="0"/>
    <n v="2.99"/>
    <n v="170"/>
    <x v="1"/>
    <n v="650"/>
  </r>
  <r>
    <x v="3"/>
    <x v="158"/>
    <s v="Kristin Hannah"/>
    <x v="0"/>
    <x v="1"/>
    <n v="4.04"/>
    <n v="121966"/>
    <x v="0"/>
    <n v="3218.55"/>
    <n v="0"/>
    <n v="4.99"/>
    <n v="171"/>
    <x v="1"/>
    <n v="645"/>
  </r>
  <r>
    <x v="1"/>
    <x v="159"/>
    <s v="Michael Crichton"/>
    <x v="1"/>
    <x v="1"/>
    <n v="3.77"/>
    <n v="128244"/>
    <x v="0"/>
    <n v="4473.6000000000004"/>
    <n v="2684.16"/>
    <n v="6.99"/>
    <n v="172"/>
    <x v="4"/>
    <n v="640"/>
  </r>
  <r>
    <x v="3"/>
    <x v="160"/>
    <s v="Emily Giffin"/>
    <x v="0"/>
    <x v="1"/>
    <n v="3.7"/>
    <n v="124812"/>
    <x v="0"/>
    <n v="5663.7"/>
    <n v="3398.22"/>
    <n v="8.99"/>
    <n v="174"/>
    <x v="5"/>
    <n v="630"/>
  </r>
  <r>
    <x v="49"/>
    <x v="161"/>
    <s v="Robert Galbraith, J.K. Rowling"/>
    <x v="1"/>
    <x v="1"/>
    <n v="4.03"/>
    <n v="120008"/>
    <x v="0"/>
    <n v="608.85"/>
    <n v="0"/>
    <n v="0.99"/>
    <n v="177"/>
    <x v="1"/>
    <n v="615"/>
  </r>
  <r>
    <x v="54"/>
    <x v="162"/>
    <s v="Anne Rice"/>
    <x v="1"/>
    <x v="1"/>
    <n v="4.05"/>
    <n v="141299"/>
    <x v="0"/>
    <n v="603.9"/>
    <n v="362.34"/>
    <n v="0.99"/>
    <n v="178"/>
    <x v="1"/>
    <n v="610"/>
  </r>
  <r>
    <x v="4"/>
    <x v="163"/>
    <s v="Ann Patchett"/>
    <x v="1"/>
    <x v="1"/>
    <n v="3.85"/>
    <n v="124837"/>
    <x v="0"/>
    <n v="1210"/>
    <n v="0"/>
    <n v="2"/>
    <n v="179"/>
    <x v="1"/>
    <n v="605"/>
  </r>
  <r>
    <x v="3"/>
    <x v="164"/>
    <s v="Matthew Quick"/>
    <x v="0"/>
    <x v="1"/>
    <n v="4"/>
    <n v="110939"/>
    <x v="0"/>
    <n v="594"/>
    <n v="0"/>
    <n v="0.99"/>
    <n v="180"/>
    <x v="1"/>
    <n v="600"/>
  </r>
  <r>
    <x v="70"/>
    <x v="165"/>
    <s v="Jules Verne, Anthony Bonner"/>
    <x v="1"/>
    <x v="1"/>
    <n v="3.86"/>
    <n v="121112"/>
    <x v="0"/>
    <n v="3540.25"/>
    <n v="0"/>
    <n v="5.95"/>
    <n v="181"/>
    <x v="1"/>
    <n v="595"/>
  </r>
  <r>
    <x v="29"/>
    <x v="166"/>
    <s v="Philippa Gregory"/>
    <x v="0"/>
    <x v="1"/>
    <n v="3.88"/>
    <n v="124786"/>
    <x v="0"/>
    <n v="3564.05"/>
    <n v="2138.4299999999998"/>
    <n v="5.99"/>
    <n v="181"/>
    <x v="3"/>
    <n v="595"/>
  </r>
  <r>
    <x v="51"/>
    <x v="167"/>
    <s v="Virginia Woolf, Maureen Howard"/>
    <x v="0"/>
    <x v="1"/>
    <n v="3.78"/>
    <n v="136327"/>
    <x v="0"/>
    <n v="1174.0999999999999"/>
    <n v="704.46"/>
    <n v="1.99"/>
    <n v="182"/>
    <x v="1"/>
    <n v="590"/>
  </r>
  <r>
    <x v="38"/>
    <x v="168"/>
    <s v="Jonas Jonasson, Rod Bradbury"/>
    <x v="3"/>
    <x v="1"/>
    <n v="3.81"/>
    <n v="92275"/>
    <x v="0"/>
    <n v="5200.6499999999996"/>
    <n v="3120.39"/>
    <n v="8.89"/>
    <n v="183"/>
    <x v="6"/>
    <n v="585"/>
  </r>
  <r>
    <x v="31"/>
    <x v="169"/>
    <s v="Stephen King"/>
    <x v="0"/>
    <x v="1"/>
    <n v="3.87"/>
    <n v="131004"/>
    <x v="0"/>
    <n v="569.25"/>
    <n v="0"/>
    <n v="0.99"/>
    <n v="185"/>
    <x v="1"/>
    <n v="575"/>
  </r>
  <r>
    <x v="54"/>
    <x v="170"/>
    <s v="John Irving"/>
    <x v="1"/>
    <x v="1"/>
    <n v="4.0999999999999996"/>
    <n v="124876"/>
    <x v="0"/>
    <n v="1134.3"/>
    <n v="0"/>
    <n v="1.99"/>
    <n v="186"/>
    <x v="1"/>
    <n v="570"/>
  </r>
  <r>
    <x v="71"/>
    <x v="171"/>
    <s v="Richard Bachman, Stephen King"/>
    <x v="3"/>
    <x v="1"/>
    <n v="3.66"/>
    <n v="130219"/>
    <x v="0"/>
    <n v="1659.45"/>
    <n v="0"/>
    <n v="2.99"/>
    <n v="189"/>
    <x v="1"/>
    <n v="555"/>
  </r>
  <r>
    <x v="72"/>
    <x v="172"/>
    <s v="Jules Verne, Michael Glencross, Brian W. Aldiss"/>
    <x v="1"/>
    <x v="1"/>
    <n v="3.9"/>
    <n v="117108"/>
    <x v="0"/>
    <n v="4434.45"/>
    <n v="2660.67"/>
    <n v="7.99"/>
    <n v="189"/>
    <x v="3"/>
    <n v="555"/>
  </r>
  <r>
    <x v="5"/>
    <x v="173"/>
    <s v="Sharon Creech"/>
    <x v="1"/>
    <x v="1"/>
    <n v="3.95"/>
    <n v="129350"/>
    <x v="2"/>
    <n v="544.5"/>
    <n v="326.7"/>
    <n v="0.99"/>
    <n v="190"/>
    <x v="1"/>
    <n v="550"/>
  </r>
  <r>
    <x v="26"/>
    <x v="174"/>
    <s v="Paulo Coelho, Margaret Jull Costa"/>
    <x v="1"/>
    <x v="1"/>
    <n v="3.69"/>
    <n v="102206"/>
    <x v="0"/>
    <n v="534.6"/>
    <n v="0"/>
    <n v="0.99"/>
    <n v="192"/>
    <x v="1"/>
    <n v="540"/>
  </r>
  <r>
    <x v="47"/>
    <x v="175"/>
    <s v="J.D. Salinger"/>
    <x v="1"/>
    <x v="1"/>
    <n v="4.1900000000000004"/>
    <n v="105138"/>
    <x v="0"/>
    <n v="2154.6"/>
    <n v="0"/>
    <n v="3.99"/>
    <n v="192"/>
    <x v="1"/>
    <n v="540"/>
  </r>
  <r>
    <x v="29"/>
    <x v="176"/>
    <s v="Julie Powell"/>
    <x v="1"/>
    <x v="1"/>
    <n v="3.67"/>
    <n v="121373"/>
    <x v="2"/>
    <n v="1599.65"/>
    <n v="959.79"/>
    <n v="2.99"/>
    <n v="193"/>
    <x v="4"/>
    <n v="535"/>
  </r>
  <r>
    <x v="27"/>
    <x v="177"/>
    <s v="Neal Shusterman"/>
    <x v="1"/>
    <x v="1"/>
    <n v="4.18"/>
    <n v="143892"/>
    <x v="0"/>
    <n v="524.70000000000005"/>
    <n v="314.82"/>
    <n v="0.99"/>
    <n v="194"/>
    <x v="6"/>
    <n v="530"/>
  </r>
  <r>
    <x v="21"/>
    <x v="178"/>
    <s v="Diana Gabaldon"/>
    <x v="1"/>
    <x v="1"/>
    <n v="4.34"/>
    <n v="123736"/>
    <x v="2"/>
    <n v="1024.8499999999999"/>
    <n v="614.91"/>
    <n v="1.99"/>
    <n v="197"/>
    <x v="1"/>
    <n v="515"/>
  </r>
  <r>
    <x v="17"/>
    <x v="179"/>
    <s v="Marie Lu"/>
    <x v="1"/>
    <x v="1"/>
    <n v="4.29"/>
    <n v="149702"/>
    <x v="0"/>
    <n v="1524.9"/>
    <n v="0"/>
    <n v="2.99"/>
    <n v="198"/>
    <x v="1"/>
    <n v="510"/>
  </r>
  <r>
    <x v="73"/>
    <x v="180"/>
    <s v="William Shakespeare"/>
    <x v="1"/>
    <x v="1"/>
    <n v="3.89"/>
    <n v="135448"/>
    <x v="0"/>
    <n v="2014.95"/>
    <n v="1208.97"/>
    <n v="3.99"/>
    <n v="199"/>
    <x v="1"/>
    <n v="505"/>
  </r>
  <r>
    <x v="74"/>
    <x v="181"/>
    <s v="Arthur Miller"/>
    <x v="1"/>
    <x v="0"/>
    <n v="3.49"/>
    <n v="132061"/>
    <x v="0"/>
    <n v="5433.18"/>
    <n v="3259.9079999999999"/>
    <n v="10.91"/>
    <n v="201"/>
    <x v="3"/>
    <n v="498"/>
  </r>
  <r>
    <x v="27"/>
    <x v="182"/>
    <s v="Nicholas Sparks"/>
    <x v="0"/>
    <x v="1"/>
    <n v="3.99"/>
    <n v="93479"/>
    <x v="0"/>
    <n v="1483.04"/>
    <n v="0"/>
    <n v="2.99"/>
    <n v="202"/>
    <x v="1"/>
    <n v="496"/>
  </r>
  <r>
    <x v="6"/>
    <x v="183"/>
    <s v="Kate Egan"/>
    <x v="0"/>
    <x v="2"/>
    <n v="4.51"/>
    <n v="119915"/>
    <x v="0"/>
    <n v="2950.91"/>
    <n v="1770.546"/>
    <n v="6.01"/>
    <n v="205"/>
    <x v="0"/>
    <n v="491"/>
  </r>
  <r>
    <x v="75"/>
    <x v="183"/>
    <s v="William Faulkner"/>
    <x v="1"/>
    <x v="1"/>
    <n v="3.86"/>
    <n v="124665"/>
    <x v="0"/>
    <n v="2445.1"/>
    <n v="1467.06"/>
    <n v="4.99"/>
    <n v="206"/>
    <x v="2"/>
    <n v="490"/>
  </r>
  <r>
    <x v="29"/>
    <x v="184"/>
    <s v="Eckhart Tolle"/>
    <x v="1"/>
    <x v="1"/>
    <n v="4.0199999999999996"/>
    <n v="106211"/>
    <x v="0"/>
    <n v="483.12"/>
    <n v="289.87200000000001"/>
    <n v="0.99"/>
    <n v="207"/>
    <x v="1"/>
    <n v="488"/>
  </r>
  <r>
    <x v="39"/>
    <x v="185"/>
    <s v="Tite Kubo"/>
    <x v="1"/>
    <x v="1"/>
    <n v="4.21"/>
    <n v="120004"/>
    <x v="1"/>
    <n v="2605.92"/>
    <n v="1563.5519999999999"/>
    <n v="5.34"/>
    <n v="207"/>
    <x v="3"/>
    <n v="488"/>
  </r>
  <r>
    <x v="17"/>
    <x v="186"/>
    <s v="Allie Brosh"/>
    <x v="1"/>
    <x v="1"/>
    <n v="4.17"/>
    <n v="118910"/>
    <x v="0"/>
    <n v="5269.53"/>
    <n v="3161.7179999999998"/>
    <n v="10.91"/>
    <n v="210"/>
    <x v="3"/>
    <n v="483"/>
  </r>
  <r>
    <x v="76"/>
    <x v="186"/>
    <s v="Robert Jordan"/>
    <x v="0"/>
    <x v="1"/>
    <n v="4.21"/>
    <n v="122524"/>
    <x v="2"/>
    <n v="2057.58"/>
    <n v="1234.548"/>
    <n v="4.26"/>
    <n v="210"/>
    <x v="7"/>
    <n v="483"/>
  </r>
  <r>
    <x v="26"/>
    <x v="187"/>
    <s v="Gregory David Roberts"/>
    <x v="1"/>
    <x v="1"/>
    <n v="4.26"/>
    <n v="95213"/>
    <x v="0"/>
    <n v="476.19"/>
    <n v="0"/>
    <n v="0.99"/>
    <n v="211"/>
    <x v="1"/>
    <n v="481"/>
  </r>
  <r>
    <x v="3"/>
    <x v="188"/>
    <s v="Charlaine Harris"/>
    <x v="1"/>
    <x v="1"/>
    <n v="4.01"/>
    <n v="151095"/>
    <x v="0"/>
    <n v="475.2"/>
    <n v="285.12"/>
    <n v="0.99"/>
    <n v="212"/>
    <x v="1"/>
    <n v="480"/>
  </r>
  <r>
    <x v="19"/>
    <x v="189"/>
    <s v="Stephen King, Ned Dameron"/>
    <x v="1"/>
    <x v="1"/>
    <n v="4.24"/>
    <n v="117483"/>
    <x v="0"/>
    <n v="1429.22"/>
    <n v="0"/>
    <n v="2.99"/>
    <n v="213"/>
    <x v="1"/>
    <n v="478"/>
  </r>
  <r>
    <x v="37"/>
    <x v="190"/>
    <s v="Jeffery Deaver"/>
    <x v="0"/>
    <x v="1"/>
    <n v="4.18"/>
    <n v="120541"/>
    <x v="0"/>
    <n v="5253.22"/>
    <n v="3151.9319999999998"/>
    <n v="10.99"/>
    <n v="213"/>
    <x v="4"/>
    <n v="478"/>
  </r>
  <r>
    <x v="30"/>
    <x v="191"/>
    <s v="Bernhard Schlink, Carol Brown Janeway"/>
    <x v="1"/>
    <x v="1"/>
    <n v="3.73"/>
    <n v="119911"/>
    <x v="0"/>
    <n v="1423.24"/>
    <n v="0"/>
    <n v="2.99"/>
    <n v="214"/>
    <x v="1"/>
    <n v="476"/>
  </r>
  <r>
    <x v="41"/>
    <x v="192"/>
    <s v="Bill Martin Jr., Eric Carle"/>
    <x v="1"/>
    <x v="1"/>
    <n v="4.1900000000000004"/>
    <n v="125668"/>
    <x v="0"/>
    <n v="2375.2399999999998"/>
    <n v="1425.144"/>
    <n v="4.99"/>
    <n v="214"/>
    <x v="2"/>
    <n v="476"/>
  </r>
  <r>
    <x v="55"/>
    <x v="193"/>
    <s v="Dan Simmons"/>
    <x v="1"/>
    <x v="1"/>
    <n v="4.21"/>
    <n v="122225"/>
    <x v="0"/>
    <n v="470.25"/>
    <n v="0"/>
    <n v="0.99"/>
    <n v="215"/>
    <x v="1"/>
    <n v="475"/>
  </r>
  <r>
    <x v="77"/>
    <x v="194"/>
    <s v="John Steinbeck"/>
    <x v="1"/>
    <x v="0"/>
    <n v="3.41"/>
    <n v="133264"/>
    <x v="0"/>
    <n v="470.25"/>
    <n v="282.14999999999998"/>
    <n v="0.99"/>
    <n v="215"/>
    <x v="1"/>
    <n v="475"/>
  </r>
  <r>
    <x v="78"/>
    <x v="195"/>
    <s v="William Peter Blatty"/>
    <x v="0"/>
    <x v="1"/>
    <n v="4.1399999999999997"/>
    <n v="124467"/>
    <x v="0"/>
    <n v="1399.32"/>
    <n v="0"/>
    <n v="2.99"/>
    <n v="219"/>
    <x v="1"/>
    <n v="468"/>
  </r>
  <r>
    <x v="38"/>
    <x v="196"/>
    <s v="Stephenie Meyer"/>
    <x v="1"/>
    <x v="1"/>
    <n v="3.51"/>
    <n v="145874"/>
    <x v="0"/>
    <n v="461.34"/>
    <n v="0"/>
    <n v="0.99"/>
    <n v="220"/>
    <x v="1"/>
    <n v="466"/>
  </r>
  <r>
    <x v="5"/>
    <x v="197"/>
    <s v="David Guterson"/>
    <x v="1"/>
    <x v="1"/>
    <n v="3.8"/>
    <n v="131945"/>
    <x v="0"/>
    <n v="1393.34"/>
    <n v="0"/>
    <n v="2.99"/>
    <n v="220"/>
    <x v="1"/>
    <n v="466"/>
  </r>
  <r>
    <x v="79"/>
    <x v="198"/>
    <s v="Alex Haley"/>
    <x v="0"/>
    <x v="2"/>
    <n v="4.42"/>
    <n v="118951"/>
    <x v="0"/>
    <n v="460.35"/>
    <n v="276.20999999999998"/>
    <n v="0.99"/>
    <n v="221"/>
    <x v="6"/>
    <n v="465"/>
  </r>
  <r>
    <x v="80"/>
    <x v="199"/>
    <s v="Alan Moore, Brian Bolland, Tim Sale"/>
    <x v="1"/>
    <x v="1"/>
    <n v="4.3600000000000003"/>
    <n v="113855"/>
    <x v="0"/>
    <n v="455.4"/>
    <n v="273.24"/>
    <n v="0.99"/>
    <n v="224"/>
    <x v="4"/>
    <n v="460"/>
  </r>
  <r>
    <x v="81"/>
    <x v="200"/>
    <s v="Ralph Ellison"/>
    <x v="1"/>
    <x v="1"/>
    <n v="3.84"/>
    <n v="123073"/>
    <x v="0"/>
    <n v="455.4"/>
    <n v="0"/>
    <n v="0.99"/>
    <n v="224"/>
    <x v="1"/>
    <n v="460"/>
  </r>
  <r>
    <x v="27"/>
    <x v="201"/>
    <s v="Ishmael Beah"/>
    <x v="0"/>
    <x v="1"/>
    <n v="4.1399999999999997"/>
    <n v="116260"/>
    <x v="0"/>
    <n v="3643.44"/>
    <n v="0"/>
    <n v="7.99"/>
    <n v="226"/>
    <x v="1"/>
    <n v="456"/>
  </r>
  <r>
    <x v="78"/>
    <x v="202"/>
    <s v="Robert C. O'Brien"/>
    <x v="1"/>
    <x v="1"/>
    <n v="4.13"/>
    <n v="135978"/>
    <x v="0"/>
    <n v="1815.45"/>
    <n v="1089.27"/>
    <n v="3.99"/>
    <n v="227"/>
    <x v="1"/>
    <n v="455"/>
  </r>
  <r>
    <x v="53"/>
    <x v="203"/>
    <s v="Stephen King"/>
    <x v="1"/>
    <x v="1"/>
    <n v="4.34"/>
    <n v="105961"/>
    <x v="0"/>
    <n v="5000.45"/>
    <n v="3000.27"/>
    <n v="10.99"/>
    <n v="227"/>
    <x v="5"/>
    <n v="455"/>
  </r>
  <r>
    <x v="47"/>
    <x v="204"/>
    <s v="Laura Ingalls Wilder, Garth Williams"/>
    <x v="1"/>
    <x v="1"/>
    <n v="4.33"/>
    <n v="124320"/>
    <x v="0"/>
    <n v="5195.91"/>
    <n v="3117.5459999999998"/>
    <n v="11.47"/>
    <n v="228"/>
    <x v="4"/>
    <n v="453"/>
  </r>
  <r>
    <x v="31"/>
    <x v="205"/>
    <s v="Melissa Bank"/>
    <x v="1"/>
    <x v="0"/>
    <n v="3.29"/>
    <n v="113977"/>
    <x v="2"/>
    <n v="448.47"/>
    <n v="0"/>
    <n v="0.99"/>
    <n v="228"/>
    <x v="1"/>
    <n v="453"/>
  </r>
  <r>
    <x v="6"/>
    <x v="206"/>
    <s v="Hugh Howey"/>
    <x v="1"/>
    <x v="1"/>
    <n v="4.24"/>
    <n v="81982"/>
    <x v="0"/>
    <n v="2250.4899999999998"/>
    <n v="1350.2940000000001"/>
    <n v="4.99"/>
    <n v="229"/>
    <x v="3"/>
    <n v="451"/>
  </r>
  <r>
    <x v="39"/>
    <x v="207"/>
    <s v="Christopher Moore"/>
    <x v="0"/>
    <x v="1"/>
    <n v="4.26"/>
    <n v="118576"/>
    <x v="0"/>
    <n v="4792.5"/>
    <n v="2875.5"/>
    <n v="10.65"/>
    <n v="230"/>
    <x v="4"/>
    <n v="450"/>
  </r>
  <r>
    <x v="37"/>
    <x v="208"/>
    <s v="Eckhart Tolle"/>
    <x v="1"/>
    <x v="1"/>
    <n v="4.0999999999999996"/>
    <n v="104549"/>
    <x v="0"/>
    <n v="4771.2"/>
    <n v="2862.72"/>
    <n v="10.65"/>
    <n v="231"/>
    <x v="3"/>
    <n v="448"/>
  </r>
  <r>
    <x v="6"/>
    <x v="209"/>
    <s v="Jenny  Lawson"/>
    <x v="1"/>
    <x v="1"/>
    <n v="3.9"/>
    <n v="118475"/>
    <x v="0"/>
    <n v="443.52"/>
    <n v="266.11200000000002"/>
    <n v="0.99"/>
    <n v="231"/>
    <x v="1"/>
    <n v="448"/>
  </r>
  <r>
    <x v="15"/>
    <x v="210"/>
    <s v="Scott Lynch"/>
    <x v="1"/>
    <x v="1"/>
    <n v="4.3"/>
    <n v="118751"/>
    <x v="0"/>
    <n v="1324.57"/>
    <n v="794.74199999999996"/>
    <n v="2.99"/>
    <n v="234"/>
    <x v="5"/>
    <n v="443"/>
  </r>
  <r>
    <x v="30"/>
    <x v="211"/>
    <s v="Garth Nix"/>
    <x v="0"/>
    <x v="1"/>
    <n v="4.17"/>
    <n v="137047"/>
    <x v="0"/>
    <n v="8811.18"/>
    <n v="5286.7079999999996"/>
    <n v="19.98"/>
    <n v="235"/>
    <x v="4"/>
    <n v="441"/>
  </r>
  <r>
    <x v="38"/>
    <x v="212"/>
    <s v="Charlaine Harris"/>
    <x v="1"/>
    <x v="1"/>
    <n v="4.01"/>
    <n v="145157"/>
    <x v="0"/>
    <n v="2175.64"/>
    <n v="1305.384"/>
    <n v="4.99"/>
    <n v="238"/>
    <x v="4"/>
    <n v="436"/>
  </r>
  <r>
    <x v="17"/>
    <x v="213"/>
    <s v="Jodi Picoult"/>
    <x v="1"/>
    <x v="1"/>
    <n v="4.26"/>
    <n v="109313"/>
    <x v="0"/>
    <n v="430.65"/>
    <n v="0"/>
    <n v="0.99"/>
    <n v="239"/>
    <x v="1"/>
    <n v="435"/>
  </r>
  <r>
    <x v="4"/>
    <x v="214"/>
    <s v="Jennifer L. Armentrout"/>
    <x v="1"/>
    <x v="1"/>
    <n v="4.2300000000000004"/>
    <n v="164832"/>
    <x v="0"/>
    <n v="5191.67"/>
    <n v="3115.002"/>
    <n v="11.99"/>
    <n v="240"/>
    <x v="3"/>
    <n v="433"/>
  </r>
  <r>
    <x v="53"/>
    <x v="215"/>
    <s v="Douglas Adams"/>
    <x v="1"/>
    <x v="1"/>
    <n v="4.1900000000000004"/>
    <n v="131562"/>
    <x v="0"/>
    <n v="2593.67"/>
    <n v="1556.202"/>
    <n v="5.99"/>
    <n v="240"/>
    <x v="2"/>
    <n v="433"/>
  </r>
  <r>
    <x v="17"/>
    <x v="216"/>
    <s v="Sarah J. Maas"/>
    <x v="5"/>
    <x v="2"/>
    <n v="4.49"/>
    <n v="160485"/>
    <x v="0"/>
    <n v="426.69"/>
    <n v="256.01400000000001"/>
    <n v="0.99"/>
    <n v="241"/>
    <x v="1"/>
    <n v="431"/>
  </r>
  <r>
    <x v="8"/>
    <x v="217"/>
    <s v="Bryan Lee O'Malley"/>
    <x v="1"/>
    <x v="1"/>
    <n v="4.18"/>
    <n v="126864"/>
    <x v="0"/>
    <n v="425.7"/>
    <n v="255.42"/>
    <n v="0.99"/>
    <n v="242"/>
    <x v="4"/>
    <n v="430"/>
  </r>
  <r>
    <x v="3"/>
    <x v="218"/>
    <s v="Jeannette Walls"/>
    <x v="1"/>
    <x v="1"/>
    <n v="4.05"/>
    <n v="110597"/>
    <x v="0"/>
    <n v="5107.74"/>
    <n v="3064.6439999999998"/>
    <n v="11.99"/>
    <n v="244"/>
    <x v="3"/>
    <n v="426"/>
  </r>
  <r>
    <x v="1"/>
    <x v="219"/>
    <s v="Terry Pratchett"/>
    <x v="1"/>
    <x v="1"/>
    <n v="4.22"/>
    <n v="128450"/>
    <x v="0"/>
    <n v="3821.22"/>
    <n v="2292.732"/>
    <n v="8.9700000000000006"/>
    <n v="244"/>
    <x v="1"/>
    <n v="426"/>
  </r>
  <r>
    <x v="10"/>
    <x v="220"/>
    <s v="Julie Kagawa"/>
    <x v="1"/>
    <x v="1"/>
    <n v="3.92"/>
    <n v="158063"/>
    <x v="0"/>
    <n v="420.75"/>
    <n v="252.45"/>
    <n v="0.99"/>
    <n v="245"/>
    <x v="6"/>
    <n v="425"/>
  </r>
  <r>
    <x v="54"/>
    <x v="221"/>
    <s v="Larry McMurtry"/>
    <x v="0"/>
    <x v="2"/>
    <n v="4.47"/>
    <n v="111498"/>
    <x v="0"/>
    <n v="1687.77"/>
    <n v="0"/>
    <n v="3.99"/>
    <n v="246"/>
    <x v="1"/>
    <n v="423"/>
  </r>
  <r>
    <x v="26"/>
    <x v="222"/>
    <s v="Mary Roach"/>
    <x v="1"/>
    <x v="1"/>
    <n v="4.05"/>
    <n v="122502"/>
    <x v="2"/>
    <n v="4473"/>
    <n v="2683.8"/>
    <n v="10.65"/>
    <n v="248"/>
    <x v="4"/>
    <n v="420"/>
  </r>
  <r>
    <x v="4"/>
    <x v="223"/>
    <s v="Richelle Mead"/>
    <x v="0"/>
    <x v="1"/>
    <n v="4.22"/>
    <n v="140599"/>
    <x v="0"/>
    <n v="413.82"/>
    <n v="248.292"/>
    <n v="0.99"/>
    <n v="249"/>
    <x v="6"/>
    <n v="418"/>
  </r>
  <r>
    <x v="31"/>
    <x v="224"/>
    <s v="Orson Scott Card"/>
    <x v="1"/>
    <x v="1"/>
    <n v="4.3"/>
    <n v="115521"/>
    <x v="2"/>
    <n v="411.84"/>
    <n v="0"/>
    <n v="0.99"/>
    <n v="250"/>
    <x v="1"/>
    <n v="416"/>
  </r>
  <r>
    <x v="38"/>
    <x v="225"/>
    <s v="Sophie Kinsella"/>
    <x v="1"/>
    <x v="1"/>
    <n v="3.82"/>
    <n v="119105"/>
    <x v="0"/>
    <n v="2070.85"/>
    <n v="1242.51"/>
    <n v="4.99"/>
    <n v="251"/>
    <x v="4"/>
    <n v="415"/>
  </r>
  <r>
    <x v="53"/>
    <x v="226"/>
    <s v="Thomas Keneally"/>
    <x v="1"/>
    <x v="1"/>
    <n v="4.34"/>
    <n v="108338"/>
    <x v="0"/>
    <n v="2537.9"/>
    <n v="1522.74"/>
    <n v="6.19"/>
    <n v="254"/>
    <x v="1"/>
    <n v="410"/>
  </r>
  <r>
    <x v="48"/>
    <x v="227"/>
    <s v="Toni Morrison"/>
    <x v="1"/>
    <x v="1"/>
    <n v="3.99"/>
    <n v="109944"/>
    <x v="0"/>
    <n v="1219.92"/>
    <n v="0"/>
    <n v="2.99"/>
    <n v="255"/>
    <x v="1"/>
    <n v="408"/>
  </r>
  <r>
    <x v="38"/>
    <x v="228"/>
    <s v="Philippa Gregory"/>
    <x v="1"/>
    <x v="1"/>
    <n v="3.9"/>
    <n v="119739"/>
    <x v="0"/>
    <n v="1685.04"/>
    <n v="1011.024"/>
    <n v="4.13"/>
    <n v="255"/>
    <x v="1"/>
    <n v="408"/>
  </r>
  <r>
    <x v="82"/>
    <x v="229"/>
    <s v="Malcolm X, Alex Haley"/>
    <x v="1"/>
    <x v="1"/>
    <n v="4.29"/>
    <n v="124805"/>
    <x v="2"/>
    <n v="2025.94"/>
    <n v="1215.5640000000001"/>
    <n v="4.99"/>
    <n v="256"/>
    <x v="4"/>
    <n v="406"/>
  </r>
  <r>
    <x v="55"/>
    <x v="230"/>
    <s v="Neil Gaiman, Sam Kieth, Mike Dringenberg, Malcolm Jones III, Todd Klein, Karen  Berger"/>
    <x v="1"/>
    <x v="1"/>
    <n v="4.3"/>
    <n v="122540"/>
    <x v="2"/>
    <n v="2251.8000000000002"/>
    <n v="1351.08"/>
    <n v="5.56"/>
    <n v="257"/>
    <x v="1"/>
    <n v="405"/>
  </r>
  <r>
    <x v="32"/>
    <x v="231"/>
    <s v="Laura Hillenbrand"/>
    <x v="0"/>
    <x v="1"/>
    <n v="4.2"/>
    <n v="111497"/>
    <x v="0"/>
    <n v="1007.5"/>
    <n v="604.5"/>
    <n v="2.5"/>
    <n v="258"/>
    <x v="0"/>
    <n v="403"/>
  </r>
  <r>
    <x v="26"/>
    <x v="232"/>
    <s v="Dennis Lehane"/>
    <x v="1"/>
    <x v="1"/>
    <n v="4.07"/>
    <n v="113718"/>
    <x v="0"/>
    <n v="4270.6499999999996"/>
    <n v="2562.39"/>
    <n v="10.65"/>
    <n v="259"/>
    <x v="3"/>
    <n v="401"/>
  </r>
  <r>
    <x v="83"/>
    <x v="233"/>
    <s v="Arthur Conan Doyle"/>
    <x v="1"/>
    <x v="2"/>
    <n v="4.5"/>
    <n v="109754"/>
    <x v="0"/>
    <n v="3180.02"/>
    <n v="1908.0119999999999"/>
    <n v="7.99"/>
    <n v="261"/>
    <x v="3"/>
    <n v="398"/>
  </r>
  <r>
    <x v="84"/>
    <x v="234"/>
    <s v="William Shakespeare, Roma Gill"/>
    <x v="1"/>
    <x v="1"/>
    <n v="3.65"/>
    <n v="119933"/>
    <x v="0"/>
    <n v="392.04"/>
    <n v="235.22399999999999"/>
    <n v="0.99"/>
    <n v="262"/>
    <x v="1"/>
    <n v="396"/>
  </r>
  <r>
    <x v="4"/>
    <x v="235"/>
    <s v="Erik Larson"/>
    <x v="1"/>
    <x v="1"/>
    <n v="3.81"/>
    <n v="110481"/>
    <x v="0"/>
    <n v="392.04"/>
    <n v="235.22399999999999"/>
    <n v="0.99"/>
    <n v="262"/>
    <x v="1"/>
    <n v="396"/>
  </r>
  <r>
    <x v="85"/>
    <x v="236"/>
    <s v="Plato, Desmond Lee"/>
    <x v="1"/>
    <x v="1"/>
    <n v="3.9"/>
    <n v="110274"/>
    <x v="0"/>
    <n v="387.09"/>
    <n v="232.25399999999999"/>
    <n v="0.99"/>
    <n v="265"/>
    <x v="1"/>
    <n v="391"/>
  </r>
  <r>
    <x v="86"/>
    <x v="237"/>
    <s v="William Shakespeare"/>
    <x v="0"/>
    <x v="1"/>
    <n v="3.81"/>
    <n v="126318"/>
    <x v="2"/>
    <n v="2726.1"/>
    <n v="1635.66"/>
    <n v="6.99"/>
    <n v="266"/>
    <x v="2"/>
    <n v="390"/>
  </r>
  <r>
    <x v="49"/>
    <x v="238"/>
    <s v="Marissa Meyer"/>
    <x v="1"/>
    <x v="2"/>
    <n v="4.46"/>
    <n v="162069"/>
    <x v="2"/>
    <n v="1154.1400000000001"/>
    <n v="692.48400000000004"/>
    <n v="2.99"/>
    <n v="268"/>
    <x v="6"/>
    <n v="386"/>
  </r>
  <r>
    <x v="10"/>
    <x v="239"/>
    <s v="Patti Smith"/>
    <x v="0"/>
    <x v="1"/>
    <n v="4.1399999999999997"/>
    <n v="106542"/>
    <x v="0"/>
    <n v="766.15"/>
    <n v="459.69"/>
    <n v="1.99"/>
    <n v="269"/>
    <x v="4"/>
    <n v="385"/>
  </r>
  <r>
    <x v="37"/>
    <x v="240"/>
    <s v="Phaidon Press"/>
    <x v="1"/>
    <x v="1"/>
    <n v="3.79"/>
    <n v="102746"/>
    <x v="0"/>
    <n v="3060.17"/>
    <n v="1836.1020000000001"/>
    <n v="7.99"/>
    <n v="270"/>
    <x v="3"/>
    <n v="383"/>
  </r>
  <r>
    <x v="61"/>
    <x v="240"/>
    <s v="Jane Green"/>
    <x v="0"/>
    <x v="1"/>
    <n v="3.62"/>
    <n v="101436"/>
    <x v="0"/>
    <n v="758.19"/>
    <n v="0"/>
    <n v="1.99"/>
    <n v="271"/>
    <x v="1"/>
    <n v="381"/>
  </r>
  <r>
    <x v="87"/>
    <x v="241"/>
    <s v="Victor Hugo, Walter J. Cobb"/>
    <x v="1"/>
    <x v="1"/>
    <n v="3.97"/>
    <n v="119851"/>
    <x v="2"/>
    <n v="3013.71"/>
    <n v="1808.2260000000001"/>
    <n v="7.91"/>
    <n v="271"/>
    <x v="1"/>
    <n v="381"/>
  </r>
  <r>
    <x v="21"/>
    <x v="242"/>
    <s v="Rohinton Mistry"/>
    <x v="1"/>
    <x v="1"/>
    <n v="4.34"/>
    <n v="99252"/>
    <x v="0"/>
    <n v="1136.2"/>
    <n v="681.72"/>
    <n v="2.99"/>
    <n v="272"/>
    <x v="5"/>
    <n v="380"/>
  </r>
  <r>
    <x v="1"/>
    <x v="243"/>
    <s v="Bill Watterson, G.B. Trudeau"/>
    <x v="0"/>
    <x v="2"/>
    <n v="4.6100000000000003"/>
    <n v="117788"/>
    <x v="2"/>
    <n v="1886.22"/>
    <n v="1131.732"/>
    <n v="4.99"/>
    <n v="273"/>
    <x v="3"/>
    <n v="378"/>
  </r>
  <r>
    <x v="15"/>
    <x v="244"/>
    <s v="Scott Westerfeld"/>
    <x v="1"/>
    <x v="1"/>
    <n v="3.77"/>
    <n v="139168"/>
    <x v="0"/>
    <n v="1124.24"/>
    <n v="674.54399999999998"/>
    <n v="2.99"/>
    <n v="274"/>
    <x v="1"/>
    <n v="376"/>
  </r>
  <r>
    <x v="88"/>
    <x v="245"/>
    <s v="Kate Chopin"/>
    <x v="1"/>
    <x v="1"/>
    <n v="3.63"/>
    <n v="125474"/>
    <x v="0"/>
    <n v="371.25"/>
    <n v="0"/>
    <n v="0.99"/>
    <n v="275"/>
    <x v="1"/>
    <n v="375"/>
  </r>
  <r>
    <x v="38"/>
    <x v="246"/>
    <s v="P.C. Cast, Kristin Cast"/>
    <x v="1"/>
    <x v="1"/>
    <n v="3.93"/>
    <n v="138103"/>
    <x v="0"/>
    <n v="1871.25"/>
    <n v="1122.75"/>
    <n v="4.99"/>
    <n v="275"/>
    <x v="4"/>
    <n v="375"/>
  </r>
  <r>
    <x v="15"/>
    <x v="247"/>
    <s v="Mitch Albom"/>
    <x v="0"/>
    <x v="1"/>
    <n v="4.09"/>
    <n v="102193"/>
    <x v="0"/>
    <n v="1488.27"/>
    <n v="0"/>
    <n v="3.99"/>
    <n v="276"/>
    <x v="1"/>
    <n v="373"/>
  </r>
  <r>
    <x v="55"/>
    <x v="248"/>
    <s v="Tom Clancy"/>
    <x v="1"/>
    <x v="1"/>
    <n v="4.08"/>
    <n v="105317"/>
    <x v="0"/>
    <n v="1115.27"/>
    <n v="669.16200000000003"/>
    <n v="2.99"/>
    <n v="276"/>
    <x v="2"/>
    <n v="373"/>
  </r>
  <r>
    <x v="21"/>
    <x v="249"/>
    <s v="Shel Silverstein"/>
    <x v="0"/>
    <x v="1"/>
    <n v="4.33"/>
    <n v="111779"/>
    <x v="0"/>
    <n v="366.3"/>
    <n v="0"/>
    <n v="0.99"/>
    <n v="278"/>
    <x v="1"/>
    <n v="370"/>
  </r>
  <r>
    <x v="10"/>
    <x v="250"/>
    <s v="Justin Halpern"/>
    <x v="4"/>
    <x v="1"/>
    <n v="3.98"/>
    <n v="102560"/>
    <x v="2"/>
    <n v="2775"/>
    <n v="1665"/>
    <n v="7.5"/>
    <n v="278"/>
    <x v="2"/>
    <n v="370"/>
  </r>
  <r>
    <x v="20"/>
    <x v="251"/>
    <s v="Irvine Welsh, Eric Lindor Fall"/>
    <x v="4"/>
    <x v="1"/>
    <n v="4.07"/>
    <n v="59453"/>
    <x v="0"/>
    <n v="1100.32"/>
    <n v="660.19200000000001"/>
    <n v="2.99"/>
    <n v="279"/>
    <x v="4"/>
    <n v="368"/>
  </r>
  <r>
    <x v="81"/>
    <x v="252"/>
    <s v="Isaac Asimov"/>
    <x v="1"/>
    <x v="1"/>
    <n v="4.2"/>
    <n v="105595"/>
    <x v="0"/>
    <n v="1094.3399999999999"/>
    <n v="0"/>
    <n v="2.99"/>
    <n v="280"/>
    <x v="1"/>
    <n v="366"/>
  </r>
  <r>
    <x v="37"/>
    <x v="253"/>
    <s v="Miguel Ruiz"/>
    <x v="0"/>
    <x v="1"/>
    <n v="4.12"/>
    <n v="97016"/>
    <x v="0"/>
    <n v="4388.34"/>
    <n v="2633.0039999999999"/>
    <n v="11.99"/>
    <n v="280"/>
    <x v="3"/>
    <n v="366"/>
  </r>
  <r>
    <x v="10"/>
    <x v="254"/>
    <s v="Jodi Picoult"/>
    <x v="0"/>
    <x v="1"/>
    <n v="4.01"/>
    <n v="111239"/>
    <x v="2"/>
    <n v="4084.35"/>
    <n v="2450.61"/>
    <n v="11.19"/>
    <n v="281"/>
    <x v="0"/>
    <n v="365"/>
  </r>
  <r>
    <x v="89"/>
    <x v="255"/>
    <s v="Jacob Grimm, Wilhelm Grimm, Josef Scharl, Padraic Colum, Joseph Campbell, Margaret Raine Hunt, James Stern"/>
    <x v="1"/>
    <x v="1"/>
    <n v="4.3099999999999996"/>
    <n v="116324"/>
    <x v="0"/>
    <n v="1811.37"/>
    <n v="0"/>
    <n v="4.99"/>
    <n v="282"/>
    <x v="1"/>
    <n v="363"/>
  </r>
  <r>
    <x v="41"/>
    <x v="256"/>
    <s v="E.L. Konigsburg"/>
    <x v="1"/>
    <x v="1"/>
    <n v="4.1500000000000004"/>
    <n v="134537"/>
    <x v="0"/>
    <n v="1085.3699999999999"/>
    <n v="651.22199999999998"/>
    <n v="2.99"/>
    <n v="282"/>
    <x v="1"/>
    <n v="363"/>
  </r>
  <r>
    <x v="17"/>
    <x v="257"/>
    <s v="Stephen King"/>
    <x v="1"/>
    <x v="1"/>
    <n v="4.0999999999999996"/>
    <n v="95276"/>
    <x v="0"/>
    <n v="357.39"/>
    <n v="214.434"/>
    <n v="0.99"/>
    <n v="283"/>
    <x v="1"/>
    <n v="361"/>
  </r>
  <r>
    <x v="31"/>
    <x v="258"/>
    <s v="Nick Hornby"/>
    <x v="0"/>
    <x v="1"/>
    <n v="3.79"/>
    <n v="101999"/>
    <x v="0"/>
    <n v="1079.3900000000001"/>
    <n v="647.63400000000001"/>
    <n v="2.99"/>
    <n v="283"/>
    <x v="3"/>
    <n v="361"/>
  </r>
  <r>
    <x v="6"/>
    <x v="259"/>
    <s v="Samantha Young"/>
    <x v="1"/>
    <x v="1"/>
    <n v="4.24"/>
    <n v="136761"/>
    <x v="2"/>
    <n v="3905.78"/>
    <n v="2343.4679999999998"/>
    <n v="10.91"/>
    <n v="285"/>
    <x v="4"/>
    <n v="358"/>
  </r>
  <r>
    <x v="3"/>
    <x v="260"/>
    <s v="Francis Chan, Danae Yankoski, Chris Tomlin"/>
    <x v="1"/>
    <x v="1"/>
    <n v="4.1500000000000004"/>
    <n v="106351"/>
    <x v="0"/>
    <n v="1064.44"/>
    <n v="638.66399999999999"/>
    <n v="2.99"/>
    <n v="286"/>
    <x v="6"/>
    <n v="356"/>
  </r>
  <r>
    <x v="35"/>
    <x v="261"/>
    <s v="Dr. Seuss"/>
    <x v="1"/>
    <x v="1"/>
    <n v="4.12"/>
    <n v="117582"/>
    <x v="2"/>
    <n v="706.45"/>
    <n v="423.87"/>
    <n v="1.99"/>
    <n v="287"/>
    <x v="5"/>
    <n v="355"/>
  </r>
  <r>
    <x v="1"/>
    <x v="262"/>
    <s v="Dean Koontz"/>
    <x v="1"/>
    <x v="1"/>
    <n v="4.16"/>
    <n v="109595"/>
    <x v="0"/>
    <n v="1049.49"/>
    <n v="0"/>
    <n v="2.99"/>
    <n v="289"/>
    <x v="1"/>
    <n v="351"/>
  </r>
  <r>
    <x v="52"/>
    <x v="263"/>
    <s v="Helen Keller"/>
    <x v="1"/>
    <x v="1"/>
    <n v="4.07"/>
    <n v="107313"/>
    <x v="2"/>
    <n v="347.49"/>
    <n v="208.494"/>
    <n v="0.99"/>
    <n v="289"/>
    <x v="1"/>
    <n v="351"/>
  </r>
  <r>
    <x v="38"/>
    <x v="264"/>
    <s v="Jonathan Tropper"/>
    <x v="1"/>
    <x v="1"/>
    <n v="3.88"/>
    <n v="98645"/>
    <x v="0"/>
    <n v="346.5"/>
    <n v="0"/>
    <n v="0.99"/>
    <n v="290"/>
    <x v="1"/>
    <n v="350"/>
  </r>
  <r>
    <x v="10"/>
    <x v="265"/>
    <s v="Seth Grahame-Smith"/>
    <x v="0"/>
    <x v="1"/>
    <n v="3.7"/>
    <n v="106336"/>
    <x v="0"/>
    <n v="344.52"/>
    <n v="0"/>
    <n v="0.99"/>
    <n v="291"/>
    <x v="1"/>
    <n v="348"/>
  </r>
  <r>
    <x v="32"/>
    <x v="266"/>
    <s v="Natsuki Takaya, Alethea Nibley, Athena Nibley"/>
    <x v="1"/>
    <x v="1"/>
    <n v="4.2300000000000004"/>
    <n v="118467"/>
    <x v="2"/>
    <n v="1031.55"/>
    <n v="618.92999999999995"/>
    <n v="2.99"/>
    <n v="293"/>
    <x v="5"/>
    <n v="345"/>
  </r>
  <r>
    <x v="90"/>
    <x v="267"/>
    <s v="William Shakespeare"/>
    <x v="0"/>
    <x v="1"/>
    <n v="3.8"/>
    <n v="125178"/>
    <x v="0"/>
    <n v="1025.57"/>
    <n v="0"/>
    <n v="2.99"/>
    <n v="294"/>
    <x v="1"/>
    <n v="343"/>
  </r>
  <r>
    <x v="10"/>
    <x v="268"/>
    <s v="P.C. Cast, Kristin Cast"/>
    <x v="1"/>
    <x v="1"/>
    <n v="3.98"/>
    <n v="120763"/>
    <x v="0"/>
    <n v="1019.59"/>
    <n v="0"/>
    <n v="2.99"/>
    <n v="295"/>
    <x v="1"/>
    <n v="341"/>
  </r>
  <r>
    <x v="37"/>
    <x v="269"/>
    <s v="Stephen King, Dave McKean"/>
    <x v="1"/>
    <x v="1"/>
    <n v="4.24"/>
    <n v="105026"/>
    <x v="1"/>
    <n v="1019.59"/>
    <n v="611.75400000000002"/>
    <n v="2.99"/>
    <n v="295"/>
    <x v="5"/>
    <n v="341"/>
  </r>
  <r>
    <x v="17"/>
    <x v="270"/>
    <s v="Dave Eggers"/>
    <x v="1"/>
    <x v="0"/>
    <n v="3.46"/>
    <n v="109412"/>
    <x v="0"/>
    <n v="3872.6"/>
    <n v="2323.56"/>
    <n v="11.39"/>
    <n v="296"/>
    <x v="3"/>
    <n v="340"/>
  </r>
  <r>
    <x v="27"/>
    <x v="271"/>
    <s v="Brian Selznick"/>
    <x v="1"/>
    <x v="1"/>
    <n v="4.2300000000000004"/>
    <n v="132159"/>
    <x v="0"/>
    <n v="1686.62"/>
    <n v="0"/>
    <n v="4.99"/>
    <n v="297"/>
    <x v="1"/>
    <n v="338"/>
  </r>
  <r>
    <x v="69"/>
    <x v="272"/>
    <s v="Aldous Huxley, Christopher Hitchens"/>
    <x v="1"/>
    <x v="1"/>
    <n v="4.16"/>
    <n v="108124"/>
    <x v="0"/>
    <n v="1676.64"/>
    <n v="0"/>
    <n v="4.99"/>
    <n v="298"/>
    <x v="1"/>
    <n v="336"/>
  </r>
  <r>
    <x v="26"/>
    <x v="273"/>
    <s v="Bisco Hatori"/>
    <x v="1"/>
    <x v="3"/>
    <n v="4.3600000000000003"/>
    <n v="113881"/>
    <x v="0"/>
    <n v="666.65"/>
    <n v="399.99"/>
    <n v="1.99"/>
    <n v="299"/>
    <x v="0"/>
    <n v="335"/>
  </r>
  <r>
    <x v="49"/>
    <x v="274"/>
    <s v="Mary Kubica"/>
    <x v="1"/>
    <x v="1"/>
    <n v="3.81"/>
    <n v="100936"/>
    <x v="0"/>
    <n v="2620.7199999999998"/>
    <n v="1572.432"/>
    <n v="7.99"/>
    <n v="303"/>
    <x v="4"/>
    <n v="328"/>
  </r>
  <r>
    <x v="6"/>
    <x v="275"/>
    <s v="Abbi Glines"/>
    <x v="1"/>
    <x v="3"/>
    <n v="4.21"/>
    <n v="138871"/>
    <x v="0"/>
    <n v="2875.32"/>
    <n v="1725.192"/>
    <n v="8.82"/>
    <n v="304"/>
    <x v="3"/>
    <n v="326"/>
  </r>
  <r>
    <x v="49"/>
    <x v="276"/>
    <s v="Rainbow Rowell"/>
    <x v="1"/>
    <x v="1"/>
    <n v="3.55"/>
    <n v="113805"/>
    <x v="0"/>
    <n v="1300.74"/>
    <n v="0"/>
    <n v="3.99"/>
    <n v="304"/>
    <x v="1"/>
    <n v="326"/>
  </r>
  <r>
    <x v="3"/>
    <x v="277"/>
    <s v="P.C. Cast, Kristin Cast"/>
    <x v="1"/>
    <x v="1"/>
    <n v="3.96"/>
    <n v="127387"/>
    <x v="1"/>
    <n v="2759.25"/>
    <n v="1655.55"/>
    <n v="8.49"/>
    <n v="305"/>
    <x v="0"/>
    <n v="325"/>
  </r>
  <r>
    <x v="29"/>
    <x v="278"/>
    <s v="Cormac McCarthy"/>
    <x v="1"/>
    <x v="3"/>
    <n v="4.12"/>
    <n v="100513"/>
    <x v="0"/>
    <n v="1611.77"/>
    <n v="967.06200000000001"/>
    <n v="4.99"/>
    <n v="306"/>
    <x v="5"/>
    <n v="323"/>
  </r>
  <r>
    <x v="38"/>
    <x v="279"/>
    <s v="Hilary Mantel"/>
    <x v="1"/>
    <x v="1"/>
    <n v="3.85"/>
    <n v="102936"/>
    <x v="0"/>
    <n v="2468.4899999999998"/>
    <n v="1481.0940000000001"/>
    <n v="7.69"/>
    <n v="307"/>
    <x v="3"/>
    <n v="321"/>
  </r>
  <r>
    <x v="28"/>
    <x v="280"/>
    <s v="Diana Wynne Jones"/>
    <x v="1"/>
    <x v="3"/>
    <n v="4.3"/>
    <n v="123945"/>
    <x v="0"/>
    <n v="950.82"/>
    <n v="0"/>
    <n v="2.99"/>
    <n v="309"/>
    <x v="1"/>
    <n v="318"/>
  </r>
  <r>
    <x v="61"/>
    <x v="281"/>
    <s v="Stephen King, William Olivier Desmond"/>
    <x v="4"/>
    <x v="1"/>
    <n v="3.59"/>
    <n v="115855"/>
    <x v="0"/>
    <n v="1576.84"/>
    <n v="0"/>
    <n v="4.99"/>
    <n v="310"/>
    <x v="1"/>
    <n v="316"/>
  </r>
  <r>
    <x v="91"/>
    <x v="282"/>
    <s v="Henry David Thoreau"/>
    <x v="1"/>
    <x v="1"/>
    <n v="3.79"/>
    <n v="108062"/>
    <x v="2"/>
    <n v="2044.35"/>
    <n v="1226.6099999999999"/>
    <n v="6.49"/>
    <n v="311"/>
    <x v="4"/>
    <n v="315"/>
  </r>
  <r>
    <x v="55"/>
    <x v="283"/>
    <s v="Kazuo Ishiguro"/>
    <x v="1"/>
    <x v="3"/>
    <n v="4.0999999999999996"/>
    <n v="105892"/>
    <x v="2"/>
    <n v="1874.87"/>
    <n v="1124.922"/>
    <n v="5.99"/>
    <n v="312"/>
    <x v="4"/>
    <n v="313"/>
  </r>
  <r>
    <x v="10"/>
    <x v="284"/>
    <s v="Nicholas Sparks"/>
    <x v="0"/>
    <x v="1"/>
    <n v="3.91"/>
    <n v="103915"/>
    <x v="0"/>
    <n v="307.89"/>
    <n v="184.73400000000001"/>
    <n v="0.99"/>
    <n v="313"/>
    <x v="1"/>
    <n v="311"/>
  </r>
  <r>
    <x v="4"/>
    <x v="285"/>
    <s v="Julian Barnes"/>
    <x v="1"/>
    <x v="1"/>
    <n v="3.7"/>
    <n v="94968"/>
    <x v="0"/>
    <n v="306.89999999999998"/>
    <n v="0"/>
    <n v="0.99"/>
    <n v="314"/>
    <x v="1"/>
    <n v="310"/>
  </r>
  <r>
    <x v="53"/>
    <x v="286"/>
    <s v="Sue Grafton"/>
    <x v="0"/>
    <x v="1"/>
    <n v="3.82"/>
    <n v="116026"/>
    <x v="0"/>
    <n v="616.9"/>
    <n v="370.14"/>
    <n v="1.99"/>
    <n v="314"/>
    <x v="1"/>
    <n v="310"/>
  </r>
  <r>
    <x v="92"/>
    <x v="287"/>
    <s v="Sophocles, J.E. Thomas"/>
    <x v="1"/>
    <x v="1"/>
    <n v="3.67"/>
    <n v="119496"/>
    <x v="0"/>
    <n v="2460.92"/>
    <n v="1476.5519999999999"/>
    <n v="7.99"/>
    <n v="315"/>
    <x v="2"/>
    <n v="308"/>
  </r>
  <r>
    <x v="38"/>
    <x v="288"/>
    <s v="Lisa See"/>
    <x v="1"/>
    <x v="1"/>
    <n v="3.87"/>
    <n v="106729"/>
    <x v="2"/>
    <n v="2152.92"/>
    <n v="1291.752"/>
    <n v="6.99"/>
    <n v="315"/>
    <x v="3"/>
    <n v="308"/>
  </r>
  <r>
    <x v="93"/>
    <x v="289"/>
    <s v="Kenneth Grahame, Gillian Avery"/>
    <x v="1"/>
    <x v="1"/>
    <n v="3.98"/>
    <n v="124612"/>
    <x v="0"/>
    <n v="10327.299999999999"/>
    <n v="6196.38"/>
    <n v="33.86"/>
    <n v="317"/>
    <x v="3"/>
    <n v="305"/>
  </r>
  <r>
    <x v="49"/>
    <x v="290"/>
    <s v="Jenny Han"/>
    <x v="1"/>
    <x v="3"/>
    <n v="4.1100000000000003"/>
    <n v="136938"/>
    <x v="2"/>
    <n v="598.99"/>
    <n v="0"/>
    <n v="1.99"/>
    <n v="319"/>
    <x v="1"/>
    <n v="301"/>
  </r>
  <r>
    <x v="18"/>
    <x v="291"/>
    <s v="Marjane Satrapi, Mattias Ripa"/>
    <x v="1"/>
    <x v="3"/>
    <n v="4.2300000000000004"/>
    <n v="117103"/>
    <x v="0"/>
    <n v="1487.02"/>
    <n v="892.21199999999999"/>
    <n v="4.99"/>
    <n v="321"/>
    <x v="4"/>
    <n v="298"/>
  </r>
  <r>
    <x v="93"/>
    <x v="292"/>
    <s v="E.M. Forster"/>
    <x v="1"/>
    <x v="1"/>
    <n v="3.91"/>
    <n v="109994"/>
    <x v="0"/>
    <n v="891.02"/>
    <n v="0"/>
    <n v="2.99"/>
    <n v="321"/>
    <x v="1"/>
    <n v="298"/>
  </r>
  <r>
    <x v="10"/>
    <x v="293"/>
    <s v="Kody Keplinger"/>
    <x v="0"/>
    <x v="1"/>
    <n v="3.86"/>
    <n v="136736"/>
    <x v="0"/>
    <n v="1181.04"/>
    <n v="0"/>
    <n v="3.99"/>
    <n v="322"/>
    <x v="1"/>
    <n v="296"/>
  </r>
  <r>
    <x v="3"/>
    <x v="294"/>
    <s v="Sarah Dessen"/>
    <x v="1"/>
    <x v="3"/>
    <n v="4.01"/>
    <n v="120475"/>
    <x v="2"/>
    <n v="885.04"/>
    <n v="531.024"/>
    <n v="2.99"/>
    <n v="322"/>
    <x v="1"/>
    <n v="296"/>
  </r>
  <r>
    <x v="30"/>
    <x v="295"/>
    <s v="J.D. Robb"/>
    <x v="0"/>
    <x v="3"/>
    <n v="4.13"/>
    <n v="78028"/>
    <x v="0"/>
    <n v="1772.95"/>
    <n v="1063.77"/>
    <n v="6.01"/>
    <n v="323"/>
    <x v="0"/>
    <n v="295"/>
  </r>
  <r>
    <x v="5"/>
    <x v="296"/>
    <s v="John Grisham"/>
    <x v="1"/>
    <x v="1"/>
    <n v="3.76"/>
    <n v="102715"/>
    <x v="0"/>
    <n v="292.05"/>
    <n v="0"/>
    <n v="0.99"/>
    <n v="323"/>
    <x v="1"/>
    <n v="295"/>
  </r>
  <r>
    <x v="3"/>
    <x v="297"/>
    <s v="Stephenie Meyer"/>
    <x v="1"/>
    <x v="3"/>
    <n v="4.03"/>
    <n v="138118"/>
    <x v="0"/>
    <n v="290.07"/>
    <n v="0"/>
    <n v="0.99"/>
    <n v="324"/>
    <x v="1"/>
    <n v="293"/>
  </r>
  <r>
    <x v="32"/>
    <x v="298"/>
    <s v="Masashi Kishimoto, Katy Bridges"/>
    <x v="1"/>
    <x v="3"/>
    <n v="4.3499999999999996"/>
    <n v="104633"/>
    <x v="2"/>
    <n v="288.08999999999997"/>
    <n v="172.85400000000001"/>
    <n v="0.99"/>
    <n v="325"/>
    <x v="8"/>
    <n v="291"/>
  </r>
  <r>
    <x v="6"/>
    <x v="299"/>
    <s v="Rachel Joyce"/>
    <x v="1"/>
    <x v="1"/>
    <n v="3.89"/>
    <n v="94012"/>
    <x v="0"/>
    <n v="3694.6"/>
    <n v="2216.7600000000002"/>
    <n v="12.74"/>
    <n v="326"/>
    <x v="2"/>
    <n v="290"/>
  </r>
  <r>
    <x v="6"/>
    <x v="300"/>
    <s v="David Levithan"/>
    <x v="1"/>
    <x v="1"/>
    <n v="3.99"/>
    <n v="121863"/>
    <x v="0"/>
    <n v="1149.1199999999999"/>
    <n v="689.47199999999998"/>
    <n v="3.99"/>
    <n v="327"/>
    <x v="1"/>
    <n v="288"/>
  </r>
  <r>
    <x v="19"/>
    <x v="301"/>
    <s v="Orson Scott Card"/>
    <x v="1"/>
    <x v="1"/>
    <n v="3.77"/>
    <n v="104467"/>
    <x v="0"/>
    <n v="1707.15"/>
    <n v="1024.29"/>
    <n v="5.99"/>
    <n v="329"/>
    <x v="5"/>
    <n v="285"/>
  </r>
  <r>
    <x v="94"/>
    <x v="302"/>
    <s v="William Shakespeare, Robert          Jackson, Barbara A. Mowat, Paul Werstine"/>
    <x v="1"/>
    <x v="1"/>
    <n v="3.78"/>
    <n v="115621"/>
    <x v="0"/>
    <n v="427.5"/>
    <n v="0"/>
    <n v="1.5"/>
    <n v="329"/>
    <x v="1"/>
    <n v="285"/>
  </r>
  <r>
    <x v="0"/>
    <x v="303"/>
    <s v="James Clavell"/>
    <x v="1"/>
    <x v="3"/>
    <n v="4.37"/>
    <n v="104339"/>
    <x v="0"/>
    <n v="2071.56"/>
    <n v="1242.9359999999999"/>
    <n v="7.32"/>
    <n v="330"/>
    <x v="2"/>
    <n v="283"/>
  </r>
  <r>
    <x v="15"/>
    <x v="304"/>
    <s v="J.R. Ward"/>
    <x v="1"/>
    <x v="2"/>
    <n v="4.45"/>
    <n v="134249"/>
    <x v="0"/>
    <n v="1412.17"/>
    <n v="847.30200000000002"/>
    <n v="4.99"/>
    <n v="330"/>
    <x v="5"/>
    <n v="283"/>
  </r>
  <r>
    <x v="2"/>
    <x v="305"/>
    <s v="Sarah J. Maas"/>
    <x v="1"/>
    <x v="3"/>
    <n v="4.29"/>
    <n v="167848"/>
    <x v="2"/>
    <n v="3650.19"/>
    <n v="2190.114"/>
    <n v="12.99"/>
    <n v="331"/>
    <x v="1"/>
    <n v="281"/>
  </r>
  <r>
    <x v="6"/>
    <x v="306"/>
    <s v="E.L. James"/>
    <x v="1"/>
    <x v="3"/>
    <n v="4.13"/>
    <n v="76876"/>
    <x v="0"/>
    <n v="1387.22"/>
    <n v="0"/>
    <n v="4.99"/>
    <n v="333"/>
    <x v="1"/>
    <n v="278"/>
  </r>
  <r>
    <x v="55"/>
    <x v="306"/>
    <s v="Bill Martin Jr., John Archambault, Lois Ehlert"/>
    <x v="1"/>
    <x v="3"/>
    <n v="4.21"/>
    <n v="105192"/>
    <x v="1"/>
    <n v="1097.25"/>
    <n v="658.35"/>
    <n v="3.99"/>
    <n v="335"/>
    <x v="5"/>
    <n v="275"/>
  </r>
  <r>
    <x v="38"/>
    <x v="307"/>
    <s v="Raina Telgemeier"/>
    <x v="1"/>
    <x v="3"/>
    <n v="4.1900000000000004"/>
    <n v="98628"/>
    <x v="0"/>
    <n v="2618.0700000000002"/>
    <n v="1570.8420000000001"/>
    <n v="9.59"/>
    <n v="336"/>
    <x v="0"/>
    <n v="273"/>
  </r>
  <r>
    <x v="36"/>
    <x v="308"/>
    <s v="George Orwell, Christopher Hitchens"/>
    <x v="1"/>
    <x v="3"/>
    <n v="4.26"/>
    <n v="116197"/>
    <x v="0"/>
    <n v="267.3"/>
    <n v="0"/>
    <n v="0.99"/>
    <n v="338"/>
    <x v="1"/>
    <n v="270"/>
  </r>
  <r>
    <x v="21"/>
    <x v="309"/>
    <s v="Jacquelyn Mitchard"/>
    <x v="0"/>
    <x v="1"/>
    <n v="3.84"/>
    <n v="102733"/>
    <x v="0"/>
    <n v="267.3"/>
    <n v="0"/>
    <n v="0.99"/>
    <n v="338"/>
    <x v="1"/>
    <n v="270"/>
  </r>
  <r>
    <x v="61"/>
    <x v="310"/>
    <s v="Amy Tan"/>
    <x v="0"/>
    <x v="1"/>
    <n v="3.98"/>
    <n v="99926"/>
    <x v="2"/>
    <n v="263.33999999999997"/>
    <n v="0"/>
    <n v="0.99"/>
    <n v="340"/>
    <x v="1"/>
    <n v="266"/>
  </r>
  <r>
    <x v="32"/>
    <x v="311"/>
    <s v="Louise Rennison"/>
    <x v="1"/>
    <x v="1"/>
    <n v="3.74"/>
    <n v="112733"/>
    <x v="0"/>
    <n v="997.5"/>
    <n v="0"/>
    <n v="3.75"/>
    <n v="340"/>
    <x v="1"/>
    <n v="266"/>
  </r>
  <r>
    <x v="6"/>
    <x v="312"/>
    <s v="Robin Sloan"/>
    <x v="1"/>
    <x v="1"/>
    <n v="3.75"/>
    <n v="110552"/>
    <x v="0"/>
    <n v="1719.85"/>
    <n v="1031.9100000000001"/>
    <n v="6.49"/>
    <n v="341"/>
    <x v="2"/>
    <n v="265"/>
  </r>
  <r>
    <x v="64"/>
    <x v="313"/>
    <s v="V.C. Andrews"/>
    <x v="1"/>
    <x v="1"/>
    <n v="3.79"/>
    <n v="109063"/>
    <x v="3"/>
    <n v="1877.82"/>
    <n v="1126.692"/>
    <n v="7.14"/>
    <n v="342"/>
    <x v="1"/>
    <n v="263"/>
  </r>
  <r>
    <x v="95"/>
    <x v="314"/>
    <s v="Paul Kalanithi, Abraham Verghese"/>
    <x v="1"/>
    <x v="3"/>
    <n v="4.32"/>
    <n v="116771"/>
    <x v="0"/>
    <n v="1041.3900000000001"/>
    <n v="0"/>
    <n v="3.99"/>
    <n v="343"/>
    <x v="1"/>
    <n v="261"/>
  </r>
  <r>
    <x v="96"/>
    <x v="315"/>
    <s v="Jerry Spinelli"/>
    <x v="1"/>
    <x v="1"/>
    <n v="3.86"/>
    <n v="99831"/>
    <x v="0"/>
    <n v="777.4"/>
    <n v="0"/>
    <n v="2.99"/>
    <n v="344"/>
    <x v="1"/>
    <n v="260"/>
  </r>
  <r>
    <x v="32"/>
    <x v="316"/>
    <s v="Chuck Palahniuk"/>
    <x v="1"/>
    <x v="1"/>
    <n v="4"/>
    <n v="54937"/>
    <x v="0"/>
    <n v="771.42"/>
    <n v="462.85199999999998"/>
    <n v="2.99"/>
    <n v="345"/>
    <x v="5"/>
    <n v="258"/>
  </r>
  <r>
    <x v="97"/>
    <x v="317"/>
    <s v="William Shakespeare"/>
    <x v="1"/>
    <x v="1"/>
    <n v="3.97"/>
    <n v="119607"/>
    <x v="0"/>
    <n v="1527.45"/>
    <n v="916.47"/>
    <n v="5.99"/>
    <n v="347"/>
    <x v="3"/>
    <n v="255"/>
  </r>
  <r>
    <x v="18"/>
    <x v="318"/>
    <s v="Lois Lowry"/>
    <x v="1"/>
    <x v="1"/>
    <n v="3.8"/>
    <n v="114917"/>
    <x v="0"/>
    <n v="997.5"/>
    <n v="0"/>
    <n v="3.99"/>
    <n v="350"/>
    <x v="1"/>
    <n v="250"/>
  </r>
  <r>
    <x v="98"/>
    <x v="319"/>
    <s v="Ellen Raskin"/>
    <x v="1"/>
    <x v="3"/>
    <n v="4.03"/>
    <n v="117108"/>
    <x v="0"/>
    <n v="997.5"/>
    <n v="598.5"/>
    <n v="3.99"/>
    <n v="350"/>
    <x v="1"/>
    <n v="250"/>
  </r>
  <r>
    <x v="49"/>
    <x v="320"/>
    <s v="Pierce Brown"/>
    <x v="1"/>
    <x v="3"/>
    <n v="4.26"/>
    <n v="104939"/>
    <x v="0"/>
    <n v="246.51"/>
    <n v="147.90600000000001"/>
    <n v="0.99"/>
    <n v="351"/>
    <x v="1"/>
    <n v="249"/>
  </r>
  <r>
    <x v="3"/>
    <x v="321"/>
    <s v="Brent Weeks"/>
    <x v="0"/>
    <x v="3"/>
    <n v="4.1500000000000004"/>
    <n v="109236"/>
    <x v="0"/>
    <n v="744.51"/>
    <n v="446.70600000000002"/>
    <n v="2.99"/>
    <n v="351"/>
    <x v="4"/>
    <n v="249"/>
  </r>
  <r>
    <x v="80"/>
    <x v="322"/>
    <s v="Barbara Kingsolver"/>
    <x v="1"/>
    <x v="1"/>
    <n v="3.94"/>
    <n v="105032"/>
    <x v="3"/>
    <n v="1635.93"/>
    <n v="981.55799999999999"/>
    <n v="6.57"/>
    <n v="352"/>
    <x v="1"/>
    <n v="249"/>
  </r>
  <r>
    <x v="17"/>
    <x v="323"/>
    <s v="Jamie McGuire"/>
    <x v="1"/>
    <x v="3"/>
    <n v="4.2300000000000004"/>
    <n v="134022"/>
    <x v="0"/>
    <n v="3221.52"/>
    <n v="0"/>
    <n v="12.99"/>
    <n v="353"/>
    <x v="1"/>
    <n v="248"/>
  </r>
  <r>
    <x v="49"/>
    <x v="324"/>
    <s v="Brandon Sanderson"/>
    <x v="1"/>
    <x v="2"/>
    <n v="4.7699999999999996"/>
    <n v="73572"/>
    <x v="0"/>
    <n v="741.52"/>
    <n v="444.91199999999998"/>
    <n v="2.99"/>
    <n v="354"/>
    <x v="0"/>
    <n v="248"/>
  </r>
  <r>
    <x v="80"/>
    <x v="325"/>
    <s v="Sam McBratney, Anita Jeram"/>
    <x v="0"/>
    <x v="3"/>
    <n v="4.3600000000000003"/>
    <n v="104690"/>
    <x v="0"/>
    <n v="738.53"/>
    <n v="0"/>
    <n v="2.99"/>
    <n v="355"/>
    <x v="1"/>
    <n v="247"/>
  </r>
  <r>
    <x v="61"/>
    <x v="326"/>
    <s v="Diana Gabaldon"/>
    <x v="1"/>
    <x v="3"/>
    <n v="4.26"/>
    <n v="103552"/>
    <x v="0"/>
    <n v="1141.1400000000001"/>
    <n v="684.68399999999997"/>
    <n v="4.62"/>
    <n v="356"/>
    <x v="3"/>
    <n v="247"/>
  </r>
  <r>
    <x v="98"/>
    <x v="327"/>
    <s v="Stephen King, John D. MacDonald"/>
    <x v="3"/>
    <x v="1"/>
    <n v="3.96"/>
    <n v="104248"/>
    <x v="0"/>
    <n v="244.53"/>
    <n v="146.71799999999999"/>
    <n v="0.99"/>
    <n v="356"/>
    <x v="1"/>
    <n v="247"/>
  </r>
  <r>
    <x v="13"/>
    <x v="328"/>
    <s v="Peter Benchley"/>
    <x v="1"/>
    <x v="1"/>
    <n v="3.96"/>
    <n v="102574"/>
    <x v="0"/>
    <n v="1227.54"/>
    <n v="736.524"/>
    <n v="4.99"/>
    <n v="357"/>
    <x v="5"/>
    <n v="246"/>
  </r>
  <r>
    <x v="29"/>
    <x v="329"/>
    <s v="Nicole Krauss"/>
    <x v="1"/>
    <x v="1"/>
    <n v="3.91"/>
    <n v="98379"/>
    <x v="0"/>
    <n v="977.55"/>
    <n v="0"/>
    <n v="3.99"/>
    <n v="359"/>
    <x v="1"/>
    <n v="245"/>
  </r>
  <r>
    <x v="99"/>
    <x v="330"/>
    <s v="Astrid Lindgren, Lauren Child, Florence Lamborn, Nancy Seligsohn"/>
    <x v="1"/>
    <x v="3"/>
    <n v="4.1100000000000003"/>
    <n v="123065"/>
    <x v="0"/>
    <n v="977.55"/>
    <n v="586.53"/>
    <n v="3.99"/>
    <n v="360"/>
    <x v="1"/>
    <n v="245"/>
  </r>
  <r>
    <x v="15"/>
    <x v="331"/>
    <s v="Muriel Barbery, Alison Anderson"/>
    <x v="1"/>
    <x v="1"/>
    <n v="3.73"/>
    <n v="101669"/>
    <x v="0"/>
    <n v="1698.57"/>
    <n v="1019.1420000000001"/>
    <n v="6.99"/>
    <n v="363"/>
    <x v="2"/>
    <n v="243"/>
  </r>
  <r>
    <x v="29"/>
    <x v="332"/>
    <s v="Doris Kearns Goodwin, Suzanne Toren"/>
    <x v="1"/>
    <x v="3"/>
    <n v="4.3"/>
    <n v="102923"/>
    <x v="0"/>
    <n v="726.57"/>
    <n v="435.94200000000001"/>
    <n v="2.99"/>
    <n v="364"/>
    <x v="1"/>
    <n v="243"/>
  </r>
  <r>
    <x v="10"/>
    <x v="333"/>
    <s v="Charlaine Harris"/>
    <x v="0"/>
    <x v="1"/>
    <n v="3.88"/>
    <n v="127379"/>
    <x v="0"/>
    <n v="1494.45"/>
    <n v="896.67"/>
    <n v="6.15"/>
    <n v="364"/>
    <x v="1"/>
    <n v="243"/>
  </r>
  <r>
    <x v="77"/>
    <x v="334"/>
    <s v="Albert Camus, Stuart Gilbert"/>
    <x v="0"/>
    <x v="1"/>
    <n v="3.97"/>
    <n v="95803"/>
    <x v="0"/>
    <n v="965.58"/>
    <n v="0"/>
    <n v="3.99"/>
    <n v="366"/>
    <x v="1"/>
    <n v="242"/>
  </r>
  <r>
    <x v="32"/>
    <x v="335"/>
    <s v="Lemony Snicket, Brett Helquist"/>
    <x v="1"/>
    <x v="1"/>
    <n v="3.95"/>
    <n v="130213"/>
    <x v="0"/>
    <n v="1202.5899999999999"/>
    <n v="721.55399999999997"/>
    <n v="4.99"/>
    <n v="367"/>
    <x v="5"/>
    <n v="241"/>
  </r>
  <r>
    <x v="6"/>
    <x v="336"/>
    <s v="Susannah Cahalan"/>
    <x v="1"/>
    <x v="1"/>
    <n v="4"/>
    <n v="92849"/>
    <x v="0"/>
    <n v="2566.65"/>
    <n v="1539.99"/>
    <n v="10.65"/>
    <n v="368"/>
    <x v="2"/>
    <n v="241"/>
  </r>
  <r>
    <x v="27"/>
    <x v="337"/>
    <s v="Melissa Marr"/>
    <x v="0"/>
    <x v="1"/>
    <n v="3.69"/>
    <n v="131034"/>
    <x v="0"/>
    <n v="1197.5999999999999"/>
    <n v="718.56"/>
    <n v="4.99"/>
    <n v="370"/>
    <x v="5"/>
    <n v="240"/>
  </r>
  <r>
    <x v="100"/>
    <x v="338"/>
    <s v="H.A. Rey"/>
    <x v="5"/>
    <x v="3"/>
    <n v="4.13"/>
    <n v="105473"/>
    <x v="0"/>
    <n v="236.61"/>
    <n v="141.96600000000001"/>
    <n v="0.99"/>
    <n v="371"/>
    <x v="1"/>
    <n v="239"/>
  </r>
  <r>
    <x v="64"/>
    <x v="339"/>
    <s v="Michael Ende, Ralph Manheim, Roswitha Quadflieg"/>
    <x v="1"/>
    <x v="3"/>
    <n v="4.17"/>
    <n v="109110"/>
    <x v="0"/>
    <n v="953.61"/>
    <n v="0"/>
    <n v="3.99"/>
    <n v="372"/>
    <x v="1"/>
    <n v="239"/>
  </r>
  <r>
    <x v="31"/>
    <x v="340"/>
    <s v="Sylvia Nasar"/>
    <x v="3"/>
    <x v="3"/>
    <n v="4.12"/>
    <n v="98276"/>
    <x v="0"/>
    <n v="1544.62"/>
    <n v="926.77200000000005"/>
    <n v="6.49"/>
    <n v="373"/>
    <x v="4"/>
    <n v="238"/>
  </r>
  <r>
    <x v="101"/>
    <x v="341"/>
    <s v="Upton Sinclair, Earl Lee, Kathleen DeGrave"/>
    <x v="1"/>
    <x v="1"/>
    <n v="3.72"/>
    <n v="97468"/>
    <x v="0"/>
    <n v="1419.63"/>
    <n v="851.77800000000002"/>
    <n v="5.99"/>
    <n v="375"/>
    <x v="4"/>
    <n v="237"/>
  </r>
  <r>
    <x v="3"/>
    <x v="342"/>
    <s v="Kelley Armstrong"/>
    <x v="0"/>
    <x v="3"/>
    <n v="4.03"/>
    <n v="132285"/>
    <x v="0"/>
    <n v="471.63"/>
    <n v="0"/>
    <n v="1.99"/>
    <n v="376"/>
    <x v="1"/>
    <n v="237"/>
  </r>
  <r>
    <x v="54"/>
    <x v="343"/>
    <s v="Oliver Sacks"/>
    <x v="0"/>
    <x v="3"/>
    <n v="4.04"/>
    <n v="102419"/>
    <x v="2"/>
    <n v="1182.6300000000001"/>
    <n v="709.57799999999997"/>
    <n v="4.99"/>
    <n v="376"/>
    <x v="4"/>
    <n v="237"/>
  </r>
  <r>
    <x v="98"/>
    <x v="344"/>
    <s v="Ken Follett"/>
    <x v="0"/>
    <x v="3"/>
    <n v="4.16"/>
    <n v="93475"/>
    <x v="1"/>
    <n v="708.63"/>
    <n v="0"/>
    <n v="2.99"/>
    <n v="376"/>
    <x v="1"/>
    <n v="237"/>
  </r>
  <r>
    <x v="18"/>
    <x v="345"/>
    <s v="Margaret Atwood"/>
    <x v="1"/>
    <x v="1"/>
    <n v="3.95"/>
    <n v="98464"/>
    <x v="2"/>
    <n v="1885.64"/>
    <n v="1131.384"/>
    <n v="7.99"/>
    <n v="378"/>
    <x v="8"/>
    <n v="236"/>
  </r>
  <r>
    <x v="49"/>
    <x v="346"/>
    <s v="Ransom Riggs"/>
    <x v="1"/>
    <x v="3"/>
    <n v="4.07"/>
    <n v="73149"/>
    <x v="0"/>
    <n v="1642.65"/>
    <n v="985.59"/>
    <n v="6.99"/>
    <n v="380"/>
    <x v="3"/>
    <n v="235"/>
  </r>
  <r>
    <x v="32"/>
    <x v="347"/>
    <s v="Andre Dubus III"/>
    <x v="1"/>
    <x v="1"/>
    <n v="3.83"/>
    <n v="55381"/>
    <x v="0"/>
    <n v="933.66"/>
    <n v="560.19600000000003"/>
    <n v="3.99"/>
    <n v="381"/>
    <x v="1"/>
    <n v="234"/>
  </r>
  <r>
    <x v="49"/>
    <x v="348"/>
    <s v="M.R. Carey"/>
    <x v="1"/>
    <x v="1"/>
    <n v="3.93"/>
    <n v="99729"/>
    <x v="0"/>
    <n v="463.67"/>
    <n v="278.202"/>
    <n v="1.99"/>
    <n v="383"/>
    <x v="5"/>
    <n v="233"/>
  </r>
  <r>
    <x v="102"/>
    <x v="349"/>
    <s v="William Faulkner"/>
    <x v="1"/>
    <x v="1"/>
    <n v="3.72"/>
    <n v="103547"/>
    <x v="2"/>
    <n v="461.68"/>
    <n v="277.00799999999998"/>
    <n v="1.99"/>
    <n v="385"/>
    <x v="0"/>
    <n v="6264"/>
  </r>
  <r>
    <x v="103"/>
    <x v="350"/>
    <s v="Crockett Johnson"/>
    <x v="1"/>
    <x v="3"/>
    <n v="4.24"/>
    <n v="107221"/>
    <x v="0"/>
    <n v="925.68"/>
    <n v="0"/>
    <n v="3.99"/>
    <n v="385"/>
    <x v="1"/>
    <n v="6264"/>
  </r>
  <r>
    <x v="15"/>
    <x v="351"/>
    <s v="J.R. Ward"/>
    <x v="1"/>
    <x v="3"/>
    <n v="4.3499999999999996"/>
    <n v="137558"/>
    <x v="2"/>
    <n v="2460.15"/>
    <n v="1476.09"/>
    <n v="10.65"/>
    <n v="387"/>
    <x v="4"/>
    <n v="6237"/>
  </r>
  <r>
    <x v="47"/>
    <x v="352"/>
    <s v="Isaac Asimov"/>
    <x v="1"/>
    <x v="3"/>
    <n v="4.2300000000000004"/>
    <n v="96865"/>
    <x v="2"/>
    <n v="690.69"/>
    <n v="414.41399999999999"/>
    <n v="2.99"/>
    <n v="388"/>
    <x v="0"/>
    <n v="6237"/>
  </r>
  <r>
    <x v="61"/>
    <x v="352"/>
    <s v="Jim Butcher"/>
    <x v="1"/>
    <x v="3"/>
    <n v="4.04"/>
    <n v="111371"/>
    <x v="0"/>
    <n v="687.7"/>
    <n v="412.62"/>
    <n v="2.99"/>
    <n v="389"/>
    <x v="6"/>
    <n v="6210"/>
  </r>
  <r>
    <x v="4"/>
    <x v="353"/>
    <s v="Malcolm Gladwell"/>
    <x v="1"/>
    <x v="1"/>
    <n v="3.9"/>
    <n v="90083"/>
    <x v="2"/>
    <n v="2509.3000000000002"/>
    <n v="1505.58"/>
    <n v="10.91"/>
    <n v="389"/>
    <x v="4"/>
    <n v="6210"/>
  </r>
  <r>
    <x v="39"/>
    <x v="354"/>
    <s v="Hiromu Arakawa, Akira Watanabe"/>
    <x v="1"/>
    <x v="2"/>
    <n v="4.49"/>
    <n v="93990"/>
    <x v="0"/>
    <n v="226.71"/>
    <n v="0"/>
    <n v="0.99"/>
    <n v="391"/>
    <x v="1"/>
    <n v="6183"/>
  </r>
  <r>
    <x v="55"/>
    <x v="355"/>
    <s v="Terry Pratchett"/>
    <x v="1"/>
    <x v="3"/>
    <n v="4.32"/>
    <n v="108652"/>
    <x v="0"/>
    <n v="1142.71"/>
    <n v="0"/>
    <n v="4.99"/>
    <n v="392"/>
    <x v="1"/>
    <n v="6183"/>
  </r>
  <r>
    <x v="29"/>
    <x v="356"/>
    <s v="Joan Didion"/>
    <x v="1"/>
    <x v="1"/>
    <n v="3.86"/>
    <n v="94590"/>
    <x v="0"/>
    <n v="909.72"/>
    <n v="0"/>
    <n v="3.99"/>
    <n v="393"/>
    <x v="1"/>
    <n v="6156"/>
  </r>
  <r>
    <x v="26"/>
    <x v="357"/>
    <s v="Lionel Shriver"/>
    <x v="1"/>
    <x v="3"/>
    <n v="4.07"/>
    <n v="101343"/>
    <x v="0"/>
    <n v="5902.92"/>
    <n v="3541.752"/>
    <n v="25.89"/>
    <n v="393"/>
    <x v="0"/>
    <n v="6156"/>
  </r>
  <r>
    <x v="104"/>
    <x v="358"/>
    <s v="Arthur C. Clarke"/>
    <x v="1"/>
    <x v="3"/>
    <n v="4.0599999999999996"/>
    <n v="93151"/>
    <x v="0"/>
    <n v="1468.69"/>
    <n v="881.21400000000006"/>
    <n v="6.47"/>
    <n v="395"/>
    <x v="1"/>
    <n v="6129"/>
  </r>
  <r>
    <x v="80"/>
    <x v="359"/>
    <s v="Anne Rice"/>
    <x v="1"/>
    <x v="1"/>
    <n v="3.86"/>
    <n v="110693"/>
    <x v="0"/>
    <n v="223.74"/>
    <n v="134.244"/>
    <n v="0.99"/>
    <n v="397"/>
    <x v="1"/>
    <n v="6102"/>
  </r>
  <r>
    <x v="65"/>
    <x v="360"/>
    <s v="Edith Wharton, Maureen Howard"/>
    <x v="1"/>
    <x v="1"/>
    <n v="3.93"/>
    <n v="102646"/>
    <x v="0"/>
    <n v="1188.76"/>
    <n v="713.25599999999997"/>
    <n v="5.26"/>
    <n v="398"/>
    <x v="1"/>
    <n v="6102"/>
  </r>
  <r>
    <x v="79"/>
    <x v="361"/>
    <s v="Richard Dawkins"/>
    <x v="1"/>
    <x v="3"/>
    <n v="4.1100000000000003"/>
    <n v="96564"/>
    <x v="0"/>
    <n v="897.75"/>
    <n v="538.65"/>
    <n v="3.99"/>
    <n v="400"/>
    <x v="1"/>
    <n v="6075"/>
  </r>
  <r>
    <x v="61"/>
    <x v="362"/>
    <s v="Geraldine Brooks"/>
    <x v="1"/>
    <x v="1"/>
    <n v="4"/>
    <n v="104283"/>
    <x v="0"/>
    <n v="221.76"/>
    <n v="0"/>
    <n v="0.99"/>
    <n v="401"/>
    <x v="1"/>
    <n v="6048"/>
  </r>
  <r>
    <x v="76"/>
    <x v="363"/>
    <s v="Michael Connelly"/>
    <x v="1"/>
    <x v="3"/>
    <n v="4.08"/>
    <n v="98591"/>
    <x v="2"/>
    <n v="1274.56"/>
    <n v="764.73599999999999"/>
    <n v="5.69"/>
    <n v="401"/>
    <x v="1"/>
    <n v="6048"/>
  </r>
  <r>
    <x v="105"/>
    <x v="364"/>
    <s v="Ayn Rand"/>
    <x v="1"/>
    <x v="1"/>
    <n v="3.62"/>
    <n v="95620"/>
    <x v="0"/>
    <n v="1112.77"/>
    <n v="0"/>
    <n v="4.99"/>
    <n v="403"/>
    <x v="1"/>
    <n v="6021"/>
  </r>
  <r>
    <x v="4"/>
    <x v="365"/>
    <s v="Sylvain Reynard"/>
    <x v="1"/>
    <x v="3"/>
    <n v="4.0199999999999996"/>
    <n v="119633"/>
    <x v="0"/>
    <n v="1781.77"/>
    <n v="1069.0619999999999"/>
    <n v="7.99"/>
    <n v="404"/>
    <x v="3"/>
    <n v="6021"/>
  </r>
  <r>
    <x v="98"/>
    <x v="366"/>
    <s v="Judi Barrett, Ron Barrett"/>
    <x v="1"/>
    <x v="3"/>
    <n v="4.1500000000000004"/>
    <n v="104677"/>
    <x v="0"/>
    <n v="1662.78"/>
    <n v="997.66800000000001"/>
    <n v="7.49"/>
    <n v="406"/>
    <x v="3"/>
    <n v="5994"/>
  </r>
  <r>
    <x v="10"/>
    <x v="367"/>
    <s v="Helen Simonson"/>
    <x v="1"/>
    <x v="1"/>
    <n v="3.87"/>
    <n v="97745"/>
    <x v="0"/>
    <n v="660.79"/>
    <n v="396.47399999999999"/>
    <n v="2.99"/>
    <n v="408"/>
    <x v="5"/>
    <n v="5967"/>
  </r>
  <r>
    <x v="38"/>
    <x v="368"/>
    <s v="Nora Roberts"/>
    <x v="1"/>
    <x v="3"/>
    <n v="4.0999999999999996"/>
    <n v="103933"/>
    <x v="0"/>
    <n v="437.8"/>
    <n v="262.68"/>
    <n v="1.99"/>
    <n v="409"/>
    <x v="4"/>
    <n v="5940"/>
  </r>
  <r>
    <x v="15"/>
    <x v="369"/>
    <s v="Jodi Picoult"/>
    <x v="1"/>
    <x v="0"/>
    <n v="3.48"/>
    <n v="99170"/>
    <x v="0"/>
    <n v="3955.6"/>
    <n v="2373.36"/>
    <n v="17.98"/>
    <n v="409"/>
    <x v="1"/>
    <n v="5940"/>
  </r>
  <r>
    <x v="4"/>
    <x v="370"/>
    <s v="Rick Riordan"/>
    <x v="1"/>
    <x v="3"/>
    <n v="4.2"/>
    <n v="116360"/>
    <x v="2"/>
    <n v="2067.36"/>
    <n v="1240.4159999999999"/>
    <n v="9.44"/>
    <n v="411"/>
    <x v="1"/>
    <n v="5913"/>
  </r>
  <r>
    <x v="29"/>
    <x v="371"/>
    <s v="John Scalzi"/>
    <x v="1"/>
    <x v="3"/>
    <n v="4.2300000000000004"/>
    <n v="97653"/>
    <x v="0"/>
    <n v="1311.81"/>
    <n v="787.08600000000001"/>
    <n v="5.99"/>
    <n v="412"/>
    <x v="6"/>
    <n v="5913"/>
  </r>
  <r>
    <x v="76"/>
    <x v="372"/>
    <s v="Stephen King"/>
    <x v="1"/>
    <x v="2"/>
    <n v="3.47"/>
    <n v="100158"/>
    <x v="1"/>
    <n v="433.82"/>
    <n v="260.29199999999997"/>
    <n v="1.99"/>
    <n v="413"/>
    <x v="1"/>
    <n v="5886"/>
  </r>
  <r>
    <x v="21"/>
    <x v="373"/>
    <s v="Janet Evanovich"/>
    <x v="1"/>
    <x v="3"/>
    <n v="4.1100000000000003"/>
    <n v="116171"/>
    <x v="2"/>
    <n v="2177.8200000000002"/>
    <n v="1306.692"/>
    <n v="9.99"/>
    <n v="414"/>
    <x v="1"/>
    <n v="5886"/>
  </r>
  <r>
    <x v="106"/>
    <x v="374"/>
    <s v="Irma S. Rombauer, Marion Rombauer Becker, Ethan Becker"/>
    <x v="1"/>
    <x v="3"/>
    <n v="4.1399999999999997"/>
    <n v="102348"/>
    <x v="1"/>
    <n v="1864.03"/>
    <n v="1118.4179999999999"/>
    <n v="8.59"/>
    <n v="415"/>
    <x v="2"/>
    <n v="5859"/>
  </r>
  <r>
    <x v="13"/>
    <x v="375"/>
    <s v="Joe Haldeman"/>
    <x v="1"/>
    <x v="3"/>
    <n v="4.1500000000000004"/>
    <n v="87636"/>
    <x v="0"/>
    <n v="214.83"/>
    <n v="128.898"/>
    <n v="0.99"/>
    <n v="416"/>
    <x v="1"/>
    <n v="5859"/>
  </r>
  <r>
    <x v="5"/>
    <x v="376"/>
    <s v="Stephen King, Bettina Blanch Tyroller"/>
    <x v="2"/>
    <x v="1"/>
    <n v="3.79"/>
    <n v="100972"/>
    <x v="0"/>
    <n v="2311.0500000000002"/>
    <n v="1386.63"/>
    <n v="10.65"/>
    <n v="416"/>
    <x v="4"/>
    <n v="5859"/>
  </r>
  <r>
    <x v="26"/>
    <x v="377"/>
    <s v="Azar Nafisi"/>
    <x v="1"/>
    <x v="1"/>
    <n v="3.57"/>
    <n v="94696"/>
    <x v="0"/>
    <n v="1072.8499999999999"/>
    <n v="0"/>
    <n v="4.99"/>
    <n v="419"/>
    <x v="1"/>
    <n v="5805"/>
  </r>
  <r>
    <x v="15"/>
    <x v="378"/>
    <s v="Joe Abercrombie"/>
    <x v="1"/>
    <x v="3"/>
    <n v="4.1399999999999997"/>
    <n v="97501"/>
    <x v="0"/>
    <n v="1717.85"/>
    <n v="1030.71"/>
    <n v="7.99"/>
    <n v="419"/>
    <x v="4"/>
    <n v="5805"/>
  </r>
  <r>
    <x v="39"/>
    <x v="379"/>
    <s v="Eoin Colfer"/>
    <x v="1"/>
    <x v="1"/>
    <n v="3.94"/>
    <n v="108031"/>
    <x v="2"/>
    <n v="642.85"/>
    <n v="385.71"/>
    <n v="2.99"/>
    <n v="420"/>
    <x v="1"/>
    <n v="5805"/>
  </r>
  <r>
    <x v="20"/>
    <x v="380"/>
    <s v="Annie Proulx"/>
    <x v="1"/>
    <x v="1"/>
    <n v="3.83"/>
    <n v="103151"/>
    <x v="0"/>
    <n v="1281.8599999999999"/>
    <n v="0"/>
    <n v="5.99"/>
    <n v="421"/>
    <x v="1"/>
    <n v="5778"/>
  </r>
  <r>
    <x v="4"/>
    <x v="381"/>
    <s v="Marie KondÅ, Cathy Hirano"/>
    <x v="1"/>
    <x v="1"/>
    <n v="3.77"/>
    <n v="105063"/>
    <x v="0"/>
    <n v="849.87"/>
    <n v="509.92200000000003"/>
    <n v="3.99"/>
    <n v="423"/>
    <x v="1"/>
    <n v="5751"/>
  </r>
  <r>
    <x v="2"/>
    <x v="382"/>
    <s v="Jennifer Niven, ÙØ±Ø§Ù†Ú© Ù…Ø¹Ù†ÙˆÛŒ"/>
    <x v="1"/>
    <x v="3"/>
    <n v="4.1900000000000004"/>
    <n v="132087"/>
    <x v="0"/>
    <n v="423.87"/>
    <n v="254.322"/>
    <n v="1.99"/>
    <n v="423"/>
    <x v="0"/>
    <n v="5751"/>
  </r>
  <r>
    <x v="37"/>
    <x v="383"/>
    <s v="Kathy Reichs"/>
    <x v="1"/>
    <x v="1"/>
    <n v="3.86"/>
    <n v="100369"/>
    <x v="0"/>
    <n v="1062.8699999999999"/>
    <n v="637.72199999999998"/>
    <n v="4.99"/>
    <n v="424"/>
    <x v="2"/>
    <n v="5751"/>
  </r>
  <r>
    <x v="27"/>
    <x v="384"/>
    <s v="Michael Scott"/>
    <x v="1"/>
    <x v="1"/>
    <n v="3.84"/>
    <n v="58396"/>
    <x v="0"/>
    <n v="1693.88"/>
    <n v="1016.328"/>
    <n v="7.99"/>
    <n v="425"/>
    <x v="3"/>
    <n v="5724"/>
  </r>
  <r>
    <x v="4"/>
    <x v="385"/>
    <s v="Jeffrey Eugenides"/>
    <x v="1"/>
    <x v="0"/>
    <n v="3.42"/>
    <n v="90551"/>
    <x v="0"/>
    <n v="1080.32"/>
    <n v="648.19200000000001"/>
    <n v="5.12"/>
    <n v="427"/>
    <x v="4"/>
    <n v="5697"/>
  </r>
  <r>
    <x v="31"/>
    <x v="386"/>
    <s v="Isabel Allende, Margaret Sayers Peden"/>
    <x v="1"/>
    <x v="1"/>
    <n v="3.89"/>
    <n v="89770"/>
    <x v="0"/>
    <n v="630.89"/>
    <n v="0"/>
    <n v="2.99"/>
    <n v="428"/>
    <x v="1"/>
    <n v="5697"/>
  </r>
  <r>
    <x v="2"/>
    <x v="387"/>
    <s v="Jessica Knoll"/>
    <x v="1"/>
    <x v="0"/>
    <n v="3.48"/>
    <n v="82504"/>
    <x v="0"/>
    <n v="2007.6"/>
    <n v="1204.56"/>
    <n v="9.56"/>
    <n v="430"/>
    <x v="5"/>
    <n v="5670"/>
  </r>
  <r>
    <x v="8"/>
    <x v="388"/>
    <s v="Ellen Hopkins"/>
    <x v="1"/>
    <x v="3"/>
    <n v="4.16"/>
    <n v="104168"/>
    <x v="0"/>
    <n v="833.91"/>
    <n v="0"/>
    <n v="3.99"/>
    <n v="431"/>
    <x v="1"/>
    <n v="5643"/>
  </r>
  <r>
    <x v="6"/>
    <x v="389"/>
    <s v="Maggie Stiefvater"/>
    <x v="1"/>
    <x v="3"/>
    <n v="4.05"/>
    <n v="121727"/>
    <x v="2"/>
    <n v="206.91"/>
    <n v="124.146"/>
    <n v="0.99"/>
    <n v="432"/>
    <x v="1"/>
    <n v="5643"/>
  </r>
  <r>
    <x v="9"/>
    <x v="390"/>
    <s v="Richard Matheson"/>
    <x v="1"/>
    <x v="1"/>
    <n v="3.99"/>
    <n v="98795"/>
    <x v="0"/>
    <n v="621.91999999999996"/>
    <n v="0"/>
    <n v="2.99"/>
    <n v="433"/>
    <x v="1"/>
    <n v="5616"/>
  </r>
  <r>
    <x v="3"/>
    <x v="391"/>
    <s v="Elizabeth Strout"/>
    <x v="1"/>
    <x v="1"/>
    <n v="3.78"/>
    <n v="85019"/>
    <x v="0"/>
    <n v="205.92"/>
    <n v="0"/>
    <n v="0.99"/>
    <n v="433"/>
    <x v="1"/>
    <n v="5616"/>
  </r>
  <r>
    <x v="49"/>
    <x v="392"/>
    <s v="Lena Dunham, Joana Avillez"/>
    <x v="1"/>
    <x v="0"/>
    <n v="3.33"/>
    <n v="88251"/>
    <x v="2"/>
    <n v="1245.92"/>
    <n v="747.55200000000002"/>
    <n v="5.99"/>
    <n v="434"/>
    <x v="4"/>
    <n v="5616"/>
  </r>
  <r>
    <x v="61"/>
    <x v="393"/>
    <s v="James C. Collins"/>
    <x v="1"/>
    <x v="3"/>
    <n v="4.04"/>
    <n v="85277"/>
    <x v="0"/>
    <n v="1032.93"/>
    <n v="0"/>
    <n v="4.99"/>
    <n v="436"/>
    <x v="1"/>
    <n v="5589"/>
  </r>
  <r>
    <x v="38"/>
    <x v="394"/>
    <s v="Kristin Cashore"/>
    <x v="0"/>
    <x v="3"/>
    <n v="4.12"/>
    <n v="98180"/>
    <x v="0"/>
    <n v="2457.9499999999998"/>
    <n v="1474.77"/>
    <n v="11.99"/>
    <n v="439"/>
    <x v="3"/>
    <n v="5535"/>
  </r>
  <r>
    <x v="81"/>
    <x v="395"/>
    <s v="Samuel Beckett"/>
    <x v="1"/>
    <x v="1"/>
    <n v="3.81"/>
    <n v="98950"/>
    <x v="0"/>
    <n v="1621.97"/>
    <n v="973.18200000000002"/>
    <n v="7.99"/>
    <n v="444"/>
    <x v="3"/>
    <n v="5481"/>
  </r>
  <r>
    <x v="101"/>
    <x v="396"/>
    <s v="Jack London"/>
    <x v="1"/>
    <x v="1"/>
    <n v="3.94"/>
    <n v="100223"/>
    <x v="0"/>
    <n v="1703.17"/>
    <n v="1021.902"/>
    <n v="8.39"/>
    <n v="444"/>
    <x v="4"/>
    <n v="5481"/>
  </r>
  <r>
    <x v="26"/>
    <x v="397"/>
    <s v="Stephen King, Bernie Wrightson"/>
    <x v="1"/>
    <x v="3"/>
    <n v="4.17"/>
    <n v="98182"/>
    <x v="0"/>
    <n v="603.98"/>
    <n v="0"/>
    <n v="2.99"/>
    <n v="445"/>
    <x v="1"/>
    <n v="5454"/>
  </r>
  <r>
    <x v="18"/>
    <x v="398"/>
    <s v="Philip Pullman"/>
    <x v="1"/>
    <x v="3"/>
    <n v="4.25"/>
    <n v="88227"/>
    <x v="0"/>
    <n v="603.98"/>
    <n v="0"/>
    <n v="2.99"/>
    <n v="445"/>
    <x v="1"/>
    <n v="5454"/>
  </r>
  <r>
    <x v="6"/>
    <x v="399"/>
    <s v="J.A. Redmerski"/>
    <x v="0"/>
    <x v="3"/>
    <n v="4.26"/>
    <n v="117508"/>
    <x v="0"/>
    <n v="600.99"/>
    <n v="360.59399999999999"/>
    <n v="2.99"/>
    <n v="447"/>
    <x v="5"/>
    <n v="5427"/>
  </r>
  <r>
    <x v="17"/>
    <x v="400"/>
    <s v="Kimberly McCreight"/>
    <x v="1"/>
    <x v="1"/>
    <n v="3.82"/>
    <n v="86965"/>
    <x v="2"/>
    <n v="198.99"/>
    <n v="119.39400000000001"/>
    <n v="0.99"/>
    <n v="447"/>
    <x v="1"/>
    <n v="5427"/>
  </r>
  <r>
    <x v="49"/>
    <x v="401"/>
    <s v="Jojo Moyes"/>
    <x v="1"/>
    <x v="1"/>
    <n v="3.94"/>
    <n v="87412"/>
    <x v="0"/>
    <n v="399.99"/>
    <n v="239.994"/>
    <n v="1.99"/>
    <n v="448"/>
    <x v="2"/>
    <n v="5427"/>
  </r>
  <r>
    <x v="31"/>
    <x v="402"/>
    <s v="Michael Cunningham"/>
    <x v="0"/>
    <x v="1"/>
    <n v="3.91"/>
    <n v="97462"/>
    <x v="0"/>
    <n v="500"/>
    <n v="300"/>
    <n v="2.5"/>
    <n v="449"/>
    <x v="0"/>
    <n v="5400"/>
  </r>
  <r>
    <x v="6"/>
    <x v="403"/>
    <s v="Alice Clayton"/>
    <x v="1"/>
    <x v="3"/>
    <n v="4.0999999999999996"/>
    <n v="134805"/>
    <x v="2"/>
    <n v="1898"/>
    <n v="0"/>
    <n v="9.49"/>
    <n v="450"/>
    <x v="1"/>
    <n v="5400"/>
  </r>
  <r>
    <x v="37"/>
    <x v="404"/>
    <s v="David Sedaris"/>
    <x v="1"/>
    <x v="1"/>
    <n v="3.95"/>
    <n v="82591"/>
    <x v="0"/>
    <n v="595.01"/>
    <n v="0"/>
    <n v="2.99"/>
    <n v="452"/>
    <x v="1"/>
    <n v="5373"/>
  </r>
  <r>
    <x v="21"/>
    <x v="405"/>
    <s v="Stephen King"/>
    <x v="1"/>
    <x v="1"/>
    <n v="3.8"/>
    <n v="94821"/>
    <x v="0"/>
    <n v="196.02"/>
    <n v="117.61199999999999"/>
    <n v="0.99"/>
    <n v="453"/>
    <x v="1"/>
    <n v="5346"/>
  </r>
  <r>
    <x v="4"/>
    <x v="406"/>
    <s v="Lauren Kate"/>
    <x v="1"/>
    <x v="1"/>
    <n v="3.89"/>
    <n v="119735"/>
    <x v="0"/>
    <n v="790.02"/>
    <n v="0"/>
    <n v="3.99"/>
    <n v="454"/>
    <x v="1"/>
    <n v="5346"/>
  </r>
  <r>
    <x v="6"/>
    <x v="407"/>
    <s v="James Dashner"/>
    <x v="1"/>
    <x v="1"/>
    <n v="3.69"/>
    <n v="96568"/>
    <x v="0"/>
    <n v="1059.8599999999999"/>
    <n v="635.91600000000005"/>
    <n v="5.38"/>
    <n v="455"/>
    <x v="4"/>
    <n v="5319"/>
  </r>
  <r>
    <x v="4"/>
    <x v="408"/>
    <s v="Susan Ee"/>
    <x v="0"/>
    <x v="3"/>
    <n v="4.1900000000000004"/>
    <n v="73886"/>
    <x v="0"/>
    <n v="194.04"/>
    <n v="0"/>
    <n v="0.99"/>
    <n v="457"/>
    <x v="1"/>
    <n v="5292"/>
  </r>
  <r>
    <x v="61"/>
    <x v="409"/>
    <s v="Richard Russo"/>
    <x v="1"/>
    <x v="1"/>
    <n v="3.91"/>
    <n v="90811"/>
    <x v="0"/>
    <n v="586.04"/>
    <n v="0"/>
    <n v="2.99"/>
    <n v="458"/>
    <x v="1"/>
    <n v="5292"/>
  </r>
  <r>
    <x v="20"/>
    <x v="410"/>
    <s v="Robert Jordan"/>
    <x v="0"/>
    <x v="3"/>
    <n v="4.13"/>
    <n v="93227"/>
    <x v="3"/>
    <n v="1480.05"/>
    <n v="888.03"/>
    <n v="7.59"/>
    <n v="459"/>
    <x v="4"/>
    <n v="5265"/>
  </r>
  <r>
    <x v="49"/>
    <x v="411"/>
    <s v="Jandy Nelson"/>
    <x v="1"/>
    <x v="3"/>
    <n v="4.1399999999999997"/>
    <n v="140937"/>
    <x v="0"/>
    <n v="583.04999999999995"/>
    <n v="349.83"/>
    <n v="2.99"/>
    <n v="460"/>
    <x v="5"/>
    <n v="5265"/>
  </r>
  <r>
    <x v="32"/>
    <x v="412"/>
    <s v="Chuck Palahniuk"/>
    <x v="0"/>
    <x v="1"/>
    <n v="3.93"/>
    <n v="49551"/>
    <x v="0"/>
    <n v="192.06"/>
    <n v="115.236"/>
    <n v="0.99"/>
    <n v="462"/>
    <x v="0"/>
    <n v="5238"/>
  </r>
  <r>
    <x v="27"/>
    <x v="413"/>
    <s v="Sophie Kinsella"/>
    <x v="1"/>
    <x v="1"/>
    <n v="3.77"/>
    <n v="98130"/>
    <x v="0"/>
    <n v="191.07"/>
    <n v="0"/>
    <n v="0.99"/>
    <n v="463"/>
    <x v="1"/>
    <n v="5211"/>
  </r>
  <r>
    <x v="8"/>
    <x v="414"/>
    <s v="Stephen King"/>
    <x v="0"/>
    <x v="3"/>
    <n v="4.2699999999999996"/>
    <n v="93296"/>
    <x v="0"/>
    <n v="770.07"/>
    <n v="0"/>
    <n v="3.99"/>
    <n v="463"/>
    <x v="1"/>
    <n v="5211"/>
  </r>
  <r>
    <x v="38"/>
    <x v="415"/>
    <s v="Catherine Hardwicke"/>
    <x v="0"/>
    <x v="3"/>
    <n v="4.2"/>
    <n v="88847"/>
    <x v="0"/>
    <n v="1726.08"/>
    <n v="1035.6479999999999"/>
    <n v="8.99"/>
    <n v="465"/>
    <x v="0"/>
    <n v="5184"/>
  </r>
  <r>
    <x v="61"/>
    <x v="416"/>
    <s v="Sophie Kinsella"/>
    <x v="0"/>
    <x v="1"/>
    <n v="3.75"/>
    <n v="93498"/>
    <x v="0"/>
    <n v="1468.79"/>
    <n v="881.274"/>
    <n v="7.69"/>
    <n v="468"/>
    <x v="3"/>
    <n v="5157"/>
  </r>
  <r>
    <x v="71"/>
    <x v="417"/>
    <s v="Richard Feynman"/>
    <x v="0"/>
    <x v="3"/>
    <n v="4.29"/>
    <n v="91625"/>
    <x v="0"/>
    <n v="948.1"/>
    <n v="0"/>
    <n v="4.99"/>
    <n v="470"/>
    <x v="1"/>
    <n v="5130"/>
  </r>
  <r>
    <x v="10"/>
    <x v="418"/>
    <s v="Maggie Stiefvater"/>
    <x v="0"/>
    <x v="1"/>
    <n v="3.91"/>
    <n v="125363"/>
    <x v="0"/>
    <n v="376.11"/>
    <n v="0"/>
    <n v="1.99"/>
    <n v="471"/>
    <x v="1"/>
    <n v="5103"/>
  </r>
  <r>
    <x v="93"/>
    <x v="419"/>
    <s v="L.M. Montgomery"/>
    <x v="1"/>
    <x v="2"/>
    <n v="4.42"/>
    <n v="92142"/>
    <x v="0"/>
    <n v="1510.11"/>
    <n v="906.06600000000003"/>
    <n v="7.99"/>
    <n v="472"/>
    <x v="4"/>
    <n v="5103"/>
  </r>
  <r>
    <x v="107"/>
    <x v="420"/>
    <s v="James Joyce, Seamus Deane"/>
    <x v="1"/>
    <x v="1"/>
    <n v="3.6"/>
    <n v="92569"/>
    <x v="1"/>
    <n v="565.11"/>
    <n v="339.06599999999997"/>
    <n v="2.99"/>
    <n v="472"/>
    <x v="4"/>
    <n v="5103"/>
  </r>
  <r>
    <x v="38"/>
    <x v="421"/>
    <s v="Robert Jordan, Brandon Sanderson"/>
    <x v="1"/>
    <x v="3"/>
    <n v="4.34"/>
    <n v="94095"/>
    <x v="0"/>
    <n v="750.12"/>
    <n v="0"/>
    <n v="3.99"/>
    <n v="473"/>
    <x v="1"/>
    <n v="5076"/>
  </r>
  <r>
    <x v="108"/>
    <x v="422"/>
    <s v="George Eliot, Michel Faber"/>
    <x v="1"/>
    <x v="1"/>
    <n v="3.93"/>
    <n v="95995"/>
    <x v="2"/>
    <n v="186.12"/>
    <n v="0"/>
    <n v="0.99"/>
    <n v="474"/>
    <x v="1"/>
    <n v="5076"/>
  </r>
  <r>
    <x v="6"/>
    <x v="423"/>
    <s v="Colleen Hoover"/>
    <x v="1"/>
    <x v="3"/>
    <n v="4.3"/>
    <n v="109344"/>
    <x v="0"/>
    <n v="185.13"/>
    <n v="0"/>
    <n v="0.99"/>
    <n v="475"/>
    <x v="1"/>
    <n v="5049"/>
  </r>
  <r>
    <x v="37"/>
    <x v="424"/>
    <s v="John Grisham"/>
    <x v="1"/>
    <x v="1"/>
    <n v="3.89"/>
    <n v="86870"/>
    <x v="0"/>
    <n v="746.13"/>
    <n v="0"/>
    <n v="3.99"/>
    <n v="476"/>
    <x v="1"/>
    <n v="5049"/>
  </r>
  <r>
    <x v="104"/>
    <x v="425"/>
    <s v="J.R.R. Tolkien"/>
    <x v="1"/>
    <x v="2"/>
    <n v="4.59"/>
    <n v="90907"/>
    <x v="0"/>
    <n v="184.14"/>
    <n v="110.48399999999999"/>
    <n v="0.99"/>
    <n v="477"/>
    <x v="1"/>
    <n v="5022"/>
  </r>
  <r>
    <x v="38"/>
    <x v="426"/>
    <s v="S.C. Stephens"/>
    <x v="1"/>
    <x v="3"/>
    <n v="4.12"/>
    <n v="90483"/>
    <x v="0"/>
    <n v="1114.1400000000001"/>
    <n v="668.48400000000004"/>
    <n v="5.99"/>
    <n v="478"/>
    <x v="3"/>
    <n v="5022"/>
  </r>
  <r>
    <x v="28"/>
    <x v="427"/>
    <s v="Scott Turow"/>
    <x v="1"/>
    <x v="3"/>
    <n v="4.0999999999999996"/>
    <n v="91774"/>
    <x v="0"/>
    <n v="553.15"/>
    <n v="331.89"/>
    <n v="2.99"/>
    <n v="479"/>
    <x v="1"/>
    <n v="4995"/>
  </r>
  <r>
    <x v="55"/>
    <x v="428"/>
    <s v="Stephen King"/>
    <x v="1"/>
    <x v="1"/>
    <n v="3.74"/>
    <n v="94624"/>
    <x v="0"/>
    <n v="550.16"/>
    <n v="330.096"/>
    <n v="2.99"/>
    <n v="482"/>
    <x v="6"/>
    <n v="4968"/>
  </r>
  <r>
    <x v="15"/>
    <x v="429"/>
    <s v="Stacy Schiff"/>
    <x v="1"/>
    <x v="1"/>
    <n v="3.62"/>
    <n v="73994"/>
    <x v="0"/>
    <n v="181.17"/>
    <n v="0"/>
    <n v="0.99"/>
    <n v="483"/>
    <x v="1"/>
    <n v="4941"/>
  </r>
  <r>
    <x v="29"/>
    <x v="430"/>
    <s v="Thomas L. Friedman"/>
    <x v="0"/>
    <x v="1"/>
    <n v="3.66"/>
    <n v="78271"/>
    <x v="0"/>
    <n v="544.17999999999995"/>
    <n v="326.50799999999998"/>
    <n v="2.99"/>
    <n v="485"/>
    <x v="2"/>
    <n v="4914"/>
  </r>
  <r>
    <x v="17"/>
    <x v="431"/>
    <s v="Brandon Sanderson"/>
    <x v="1"/>
    <x v="3"/>
    <n v="4.16"/>
    <n v="76261"/>
    <x v="0"/>
    <n v="1243.06"/>
    <n v="745.83600000000001"/>
    <n v="6.83"/>
    <n v="486"/>
    <x v="3"/>
    <n v="4914"/>
  </r>
  <r>
    <x v="30"/>
    <x v="432"/>
    <s v="Marcus Pfister, J. Alison James"/>
    <x v="0"/>
    <x v="3"/>
    <n v="4.1500000000000004"/>
    <n v="95421"/>
    <x v="0"/>
    <n v="903.19"/>
    <n v="0"/>
    <n v="4.99"/>
    <n v="488"/>
    <x v="1"/>
    <n v="4887"/>
  </r>
  <r>
    <x v="109"/>
    <x v="432"/>
    <s v="Jules Verne"/>
    <x v="1"/>
    <x v="1"/>
    <n v="3.84"/>
    <n v="89410"/>
    <x v="2"/>
    <n v="1726.2"/>
    <n v="1035.72"/>
    <n v="9.59"/>
    <n v="489"/>
    <x v="6"/>
    <n v="4860"/>
  </r>
  <r>
    <x v="38"/>
    <x v="433"/>
    <s v="Gretchen Rubin"/>
    <x v="1"/>
    <x v="1"/>
    <n v="3.57"/>
    <n v="94456"/>
    <x v="0"/>
    <n v="177.21"/>
    <n v="106.32599999999999"/>
    <n v="0.99"/>
    <n v="491"/>
    <x v="1"/>
    <n v="4833"/>
  </r>
  <r>
    <x v="110"/>
    <x v="434"/>
    <s v="Philip K. Dick"/>
    <x v="1"/>
    <x v="1"/>
    <n v="3.66"/>
    <n v="84180"/>
    <x v="0"/>
    <n v="2280.46"/>
    <n v="1368.2760000000001"/>
    <n v="12.74"/>
    <n v="492"/>
    <x v="2"/>
    <n v="4833"/>
  </r>
  <r>
    <x v="13"/>
    <x v="435"/>
    <s v="Vincent Bugliosi, Curt Gentry"/>
    <x v="3"/>
    <x v="1"/>
    <n v="4"/>
    <n v="92158"/>
    <x v="0"/>
    <n v="176.22"/>
    <n v="0"/>
    <n v="0.99"/>
    <n v="493"/>
    <x v="1"/>
    <n v="4806"/>
  </r>
  <r>
    <x v="111"/>
    <x v="436"/>
    <s v="Robert Kapilow, Dr. Seuss"/>
    <x v="1"/>
    <x v="2"/>
    <n v="4.4400000000000004"/>
    <n v="90574"/>
    <x v="2"/>
    <n v="532.22"/>
    <n v="319.33199999999999"/>
    <n v="2.99"/>
    <n v="493"/>
    <x v="2"/>
    <n v="4806"/>
  </r>
  <r>
    <x v="111"/>
    <x v="436"/>
    <s v="Dante Alighieri, Anthony M. Esolen"/>
    <x v="1"/>
    <x v="1"/>
    <n v="3.99"/>
    <n v="87511"/>
    <x v="1"/>
    <n v="354.22"/>
    <n v="212.53200000000001"/>
    <n v="1.99"/>
    <n v="493"/>
    <x v="2"/>
    <n v="4806"/>
  </r>
  <r>
    <x v="6"/>
    <x v="437"/>
    <s v="Deborah Harkness"/>
    <x v="1"/>
    <x v="3"/>
    <n v="4.04"/>
    <n v="97925"/>
    <x v="0"/>
    <n v="1242.44"/>
    <n v="745.46400000000006"/>
    <n v="6.98"/>
    <n v="494"/>
    <x v="1"/>
    <n v="4806"/>
  </r>
  <r>
    <x v="49"/>
    <x v="438"/>
    <s v="Jodi Picoult"/>
    <x v="1"/>
    <x v="1"/>
    <n v="3.94"/>
    <n v="76553"/>
    <x v="1"/>
    <n v="175.23"/>
    <n v="105.13800000000001"/>
    <n v="0.99"/>
    <n v="495"/>
    <x v="1"/>
    <n v="4779"/>
  </r>
  <r>
    <x v="15"/>
    <x v="439"/>
    <s v="Patricia Briggs"/>
    <x v="1"/>
    <x v="3"/>
    <n v="4.18"/>
    <n v="129150"/>
    <x v="0"/>
    <n v="350.24"/>
    <n v="0"/>
    <n v="1.99"/>
    <n v="497"/>
    <x v="1"/>
    <n v="4752"/>
  </r>
  <r>
    <x v="15"/>
    <x v="440"/>
    <s v="Melissa de la Cruz"/>
    <x v="0"/>
    <x v="1"/>
    <n v="3.68"/>
    <n v="116687"/>
    <x v="0"/>
    <n v="702.24"/>
    <n v="421.34399999999999"/>
    <n v="3.99"/>
    <n v="497"/>
    <x v="1"/>
    <n v="4752"/>
  </r>
  <r>
    <x v="5"/>
    <x v="441"/>
    <s v="Caleb Carr"/>
    <x v="1"/>
    <x v="3"/>
    <n v="4.05"/>
    <n v="96981"/>
    <x v="0"/>
    <n v="1230.24"/>
    <n v="738.14400000000001"/>
    <n v="6.99"/>
    <n v="498"/>
    <x v="0"/>
    <n v="4752"/>
  </r>
  <r>
    <x v="2"/>
    <x v="442"/>
    <s v="Ta-Nehisi Coates"/>
    <x v="1"/>
    <x v="2"/>
    <n v="4.4000000000000004"/>
    <n v="74218"/>
    <x v="0"/>
    <n v="523.25"/>
    <n v="0"/>
    <n v="2.99"/>
    <n v="499"/>
    <x v="1"/>
    <n v="4725"/>
  </r>
  <r>
    <x v="112"/>
    <x v="443"/>
    <s v="John Milton, John      Leonard"/>
    <x v="1"/>
    <x v="1"/>
    <n v="3.8"/>
    <n v="96316"/>
    <x v="0"/>
    <n v="868.26"/>
    <n v="0"/>
    <n v="4.99"/>
    <n v="502"/>
    <x v="1"/>
    <n v="4698"/>
  </r>
  <r>
    <x v="38"/>
    <x v="444"/>
    <s v="Michael   Lewis"/>
    <x v="0"/>
    <x v="3"/>
    <n v="4.26"/>
    <n v="37090"/>
    <x v="1"/>
    <n v="1216.26"/>
    <n v="729.75599999999997"/>
    <n v="6.99"/>
    <n v="502"/>
    <x v="5"/>
    <n v="4698"/>
  </r>
  <r>
    <x v="32"/>
    <x v="445"/>
    <s v="Stephen King"/>
    <x v="1"/>
    <x v="1"/>
    <n v="3.56"/>
    <n v="95768"/>
    <x v="2"/>
    <n v="1346.76"/>
    <n v="808.05600000000004"/>
    <n v="7.74"/>
    <n v="503"/>
    <x v="1"/>
    <n v="4698"/>
  </r>
  <r>
    <x v="4"/>
    <x v="446"/>
    <s v="Patrick Ness, Jim Kay, Siobhan Dowd"/>
    <x v="1"/>
    <x v="3"/>
    <n v="4.3600000000000003"/>
    <n v="104579"/>
    <x v="0"/>
    <n v="1842.45"/>
    <n v="1105.47"/>
    <n v="10.65"/>
    <n v="505"/>
    <x v="4"/>
    <n v="4671"/>
  </r>
  <r>
    <x v="10"/>
    <x v="447"/>
    <s v="Robert Jordan, Brandon Sanderson"/>
    <x v="0"/>
    <x v="2"/>
    <n v="4.42"/>
    <n v="91383"/>
    <x v="1"/>
    <n v="344.27"/>
    <n v="206.56200000000001"/>
    <n v="1.99"/>
    <n v="505"/>
    <x v="1"/>
    <n v="4671"/>
  </r>
  <r>
    <x v="78"/>
    <x v="448"/>
    <s v="Frederick Forsyth"/>
    <x v="1"/>
    <x v="3"/>
    <n v="4.25"/>
    <n v="85883"/>
    <x v="0"/>
    <n v="171.27"/>
    <n v="0"/>
    <n v="0.99"/>
    <n v="508"/>
    <x v="1"/>
    <n v="4671"/>
  </r>
  <r>
    <x v="10"/>
    <x v="449"/>
    <s v="Jason Fried, David Heinemeier Hansson"/>
    <x v="1"/>
    <x v="1"/>
    <n v="3.93"/>
    <n v="88626"/>
    <x v="0"/>
    <n v="517.27"/>
    <n v="310.36200000000002"/>
    <n v="2.99"/>
    <n v="509"/>
    <x v="5"/>
    <n v="4671"/>
  </r>
  <r>
    <x v="4"/>
    <x v="450"/>
    <s v="Rainbow Rowell"/>
    <x v="1"/>
    <x v="1"/>
    <n v="3.95"/>
    <n v="105414"/>
    <x v="0"/>
    <n v="170.28"/>
    <n v="102.16800000000001"/>
    <n v="0.99"/>
    <n v="511"/>
    <x v="1"/>
    <n v="4644"/>
  </r>
  <r>
    <x v="29"/>
    <x v="451"/>
    <s v="Stephenie Meyer, Ilyana Kadushin, Matt Walters"/>
    <x v="1"/>
    <x v="1"/>
    <n v="3.88"/>
    <n v="89204"/>
    <x v="0"/>
    <n v="1632.28"/>
    <n v="979.36800000000005"/>
    <n v="9.49"/>
    <n v="513"/>
    <x v="3"/>
    <n v="4644"/>
  </r>
  <r>
    <x v="6"/>
    <x v="452"/>
    <s v="Carol Rifka Brunt"/>
    <x v="1"/>
    <x v="3"/>
    <n v="4.04"/>
    <n v="85582"/>
    <x v="0"/>
    <n v="340.29"/>
    <n v="0"/>
    <n v="1.99"/>
    <n v="514"/>
    <x v="1"/>
    <n v="4617"/>
  </r>
  <r>
    <x v="62"/>
    <x v="453"/>
    <s v="James Herriot"/>
    <x v="1"/>
    <x v="3"/>
    <n v="4.3099999999999996"/>
    <n v="64779"/>
    <x v="0"/>
    <n v="1024.29"/>
    <n v="0"/>
    <n v="5.99"/>
    <n v="514"/>
    <x v="1"/>
    <n v="4617"/>
  </r>
  <r>
    <x v="4"/>
    <x v="454"/>
    <s v="Michelle Hodkin"/>
    <x v="1"/>
    <x v="3"/>
    <n v="4.09"/>
    <n v="83847"/>
    <x v="1"/>
    <n v="1879.29"/>
    <n v="1127.5740000000001"/>
    <n v="10.99"/>
    <n v="516"/>
    <x v="6"/>
    <n v="4617"/>
  </r>
  <r>
    <x v="37"/>
    <x v="455"/>
    <s v="Janet Evanovich"/>
    <x v="0"/>
    <x v="3"/>
    <n v="4.1399999999999997"/>
    <n v="113400"/>
    <x v="0"/>
    <n v="1109.79"/>
    <n v="665.87400000000002"/>
    <n v="6.49"/>
    <n v="517"/>
    <x v="2"/>
    <n v="4617"/>
  </r>
  <r>
    <x v="7"/>
    <x v="456"/>
    <s v="Emmuska Orczy"/>
    <x v="1"/>
    <x v="3"/>
    <n v="4.0599999999999996"/>
    <n v="93217"/>
    <x v="1"/>
    <n v="648.09"/>
    <n v="388.85399999999998"/>
    <n v="3.79"/>
    <n v="517"/>
    <x v="2"/>
    <n v="4617"/>
  </r>
  <r>
    <x v="78"/>
    <x v="457"/>
    <s v="Jon Stone, Michael J. Smollin"/>
    <x v="1"/>
    <x v="2"/>
    <n v="4.45"/>
    <n v="102184"/>
    <x v="0"/>
    <n v="340.29"/>
    <n v="0"/>
    <n v="1.99"/>
    <n v="518"/>
    <x v="1"/>
    <n v="4617"/>
  </r>
  <r>
    <x v="62"/>
    <x v="458"/>
    <s v="Judy Blume"/>
    <x v="1"/>
    <x v="3"/>
    <n v="4.09"/>
    <n v="106435"/>
    <x v="0"/>
    <n v="508.3"/>
    <n v="304.98"/>
    <n v="2.99"/>
    <n v="519"/>
    <x v="3"/>
    <n v="4590"/>
  </r>
  <r>
    <x v="6"/>
    <x v="459"/>
    <s v="Leigh Bardugo"/>
    <x v="1"/>
    <x v="3"/>
    <n v="4.05"/>
    <n v="135225"/>
    <x v="1"/>
    <n v="678.3"/>
    <n v="0"/>
    <n v="3.99"/>
    <n v="519"/>
    <x v="1"/>
    <n v="4590"/>
  </r>
  <r>
    <x v="38"/>
    <x v="460"/>
    <s v="Herman Koch, Sam Garrett"/>
    <x v="1"/>
    <x v="0"/>
    <n v="3.22"/>
    <n v="74979"/>
    <x v="0"/>
    <n v="848.3"/>
    <n v="0"/>
    <n v="4.99"/>
    <n v="520"/>
    <x v="1"/>
    <n v="4590"/>
  </r>
  <r>
    <x v="17"/>
    <x v="461"/>
    <s v="Marie Lu"/>
    <x v="1"/>
    <x v="3"/>
    <n v="4.37"/>
    <n v="114623"/>
    <x v="2"/>
    <n v="1688.31"/>
    <n v="1012.986"/>
    <n v="9.99"/>
    <n v="523"/>
    <x v="5"/>
    <n v="4563"/>
  </r>
  <r>
    <x v="54"/>
    <x v="462"/>
    <s v="Carl Sagan"/>
    <x v="1"/>
    <x v="3"/>
    <n v="4.1100000000000003"/>
    <n v="90917"/>
    <x v="0"/>
    <n v="1350.31"/>
    <n v="810.18600000000004"/>
    <n v="7.99"/>
    <n v="524"/>
    <x v="4"/>
    <n v="4563"/>
  </r>
  <r>
    <x v="4"/>
    <x v="463"/>
    <s v="Stephanie Perkins"/>
    <x v="0"/>
    <x v="1"/>
    <n v="4"/>
    <n v="108370"/>
    <x v="0"/>
    <n v="674.31"/>
    <n v="404.58600000000001"/>
    <n v="3.99"/>
    <n v="524"/>
    <x v="1"/>
    <n v="4563"/>
  </r>
  <r>
    <x v="32"/>
    <x v="464"/>
    <s v="Zadie Smith"/>
    <x v="0"/>
    <x v="1"/>
    <n v="3.75"/>
    <n v="82474"/>
    <x v="1"/>
    <n v="167.31"/>
    <n v="100.386"/>
    <n v="0.99"/>
    <n v="524"/>
    <x v="1"/>
    <n v="4563"/>
  </r>
  <r>
    <x v="6"/>
    <x v="465"/>
    <s v="Chris Kyle, Scott McEwen, Jim DeFelice"/>
    <x v="1"/>
    <x v="1"/>
    <n v="3.97"/>
    <n v="61422"/>
    <x v="0"/>
    <n v="2153.06"/>
    <n v="1291.836"/>
    <n v="12.74"/>
    <n v="525"/>
    <x v="6"/>
    <n v="4563"/>
  </r>
  <r>
    <x v="8"/>
    <x v="466"/>
    <s v="Chelsea Handler"/>
    <x v="3"/>
    <x v="1"/>
    <n v="3.79"/>
    <n v="83607"/>
    <x v="2"/>
    <n v="1294.54"/>
    <n v="776.72400000000005"/>
    <n v="7.66"/>
    <n v="526"/>
    <x v="5"/>
    <n v="4563"/>
  </r>
  <r>
    <x v="4"/>
    <x v="467"/>
    <s v="Pittacus Lore"/>
    <x v="1"/>
    <x v="3"/>
    <n v="4.17"/>
    <n v="97938"/>
    <x v="1"/>
    <n v="1843.79"/>
    <n v="1106.2739999999999"/>
    <n v="10.91"/>
    <n v="526"/>
    <x v="6"/>
    <n v="4563"/>
  </r>
  <r>
    <x v="17"/>
    <x v="468"/>
    <s v="Meg Wolitzer"/>
    <x v="1"/>
    <x v="1"/>
    <n v="3.54"/>
    <n v="76566"/>
    <x v="0"/>
    <n v="1342.32"/>
    <n v="805.39200000000005"/>
    <n v="7.99"/>
    <n v="528"/>
    <x v="0"/>
    <n v="4536"/>
  </r>
  <r>
    <x v="80"/>
    <x v="469"/>
    <s v="Bill Watterson"/>
    <x v="0"/>
    <x v="2"/>
    <n v="4.6500000000000004"/>
    <n v="93001"/>
    <x v="0"/>
    <n v="166.32"/>
    <n v="0"/>
    <n v="0.99"/>
    <n v="530"/>
    <x v="1"/>
    <n v="4536"/>
  </r>
  <r>
    <x v="3"/>
    <x v="470"/>
    <s v="Geraldine Brooks"/>
    <x v="1"/>
    <x v="1"/>
    <n v="4"/>
    <n v="95796"/>
    <x v="0"/>
    <n v="1291.92"/>
    <n v="775.15200000000004"/>
    <n v="7.69"/>
    <n v="531"/>
    <x v="3"/>
    <n v="4536"/>
  </r>
  <r>
    <x v="6"/>
    <x v="471"/>
    <s v="Kate Morton"/>
    <x v="1"/>
    <x v="3"/>
    <n v="4.13"/>
    <n v="89460"/>
    <x v="0"/>
    <n v="332.33"/>
    <n v="199.398"/>
    <n v="1.99"/>
    <n v="532"/>
    <x v="0"/>
    <n v="4509"/>
  </r>
  <r>
    <x v="47"/>
    <x v="472"/>
    <s v="Better Homes and Gardens"/>
    <x v="1"/>
    <x v="3"/>
    <n v="4.1399999999999997"/>
    <n v="93640"/>
    <x v="2"/>
    <n v="165.33"/>
    <n v="0"/>
    <n v="0.99"/>
    <n v="534"/>
    <x v="1"/>
    <n v="4509"/>
  </r>
  <r>
    <x v="71"/>
    <x v="473"/>
    <s v="Douglas Adams"/>
    <x v="1"/>
    <x v="3"/>
    <n v="4.08"/>
    <n v="93774"/>
    <x v="0"/>
    <n v="1985.63"/>
    <n v="1191.3779999999999"/>
    <n v="11.89"/>
    <n v="535"/>
    <x v="0"/>
    <n v="4509"/>
  </r>
  <r>
    <x v="113"/>
    <x v="474"/>
    <s v="Hermann Hesse, Basil Creighton"/>
    <x v="1"/>
    <x v="3"/>
    <n v="4.1100000000000003"/>
    <n v="80769"/>
    <x v="1"/>
    <n v="833.33"/>
    <n v="499.99799999999999"/>
    <n v="4.99"/>
    <n v="535"/>
    <x v="1"/>
    <n v="4509"/>
  </r>
  <r>
    <x v="61"/>
    <x v="475"/>
    <s v="Tess Gerritsen"/>
    <x v="3"/>
    <x v="3"/>
    <n v="4.0999999999999996"/>
    <n v="89468"/>
    <x v="2"/>
    <n v="1835.33"/>
    <n v="1101.1980000000001"/>
    <n v="10.99"/>
    <n v="536"/>
    <x v="4"/>
    <n v="4509"/>
  </r>
  <r>
    <x v="6"/>
    <x v="476"/>
    <s v="Jojo Moyes"/>
    <x v="1"/>
    <x v="1"/>
    <n v="3.95"/>
    <n v="80991"/>
    <x v="0"/>
    <n v="1152.04"/>
    <n v="691.22400000000005"/>
    <n v="6.94"/>
    <n v="537"/>
    <x v="4"/>
    <n v="4482"/>
  </r>
  <r>
    <x v="21"/>
    <x v="477"/>
    <s v="Robin Hobb"/>
    <x v="1"/>
    <x v="3"/>
    <n v="4.21"/>
    <n v="82608"/>
    <x v="1"/>
    <n v="164.34"/>
    <n v="0"/>
    <n v="0.99"/>
    <n v="538"/>
    <x v="1"/>
    <n v="4482"/>
  </r>
  <r>
    <x v="47"/>
    <x v="478"/>
    <s v="Arthur C. Clarke"/>
    <x v="0"/>
    <x v="3"/>
    <n v="4.09"/>
    <n v="87141"/>
    <x v="0"/>
    <n v="1226.74"/>
    <n v="0"/>
    <n v="7.39"/>
    <n v="539"/>
    <x v="1"/>
    <n v="4482"/>
  </r>
  <r>
    <x v="8"/>
    <x v="479"/>
    <s v="Kate DiCamillo, Timothy Basil Ering"/>
    <x v="0"/>
    <x v="1"/>
    <n v="4"/>
    <n v="113066"/>
    <x v="0"/>
    <n v="1153.3499999999999"/>
    <n v="692.01"/>
    <n v="6.99"/>
    <n v="541"/>
    <x v="3"/>
    <n v="4455"/>
  </r>
  <r>
    <x v="27"/>
    <x v="480"/>
    <s v="Barbara Kingsolver, Steven L. Hopp, Camille Kingsolver, Richard A. Houser"/>
    <x v="0"/>
    <x v="3"/>
    <n v="4.03"/>
    <n v="83881"/>
    <x v="0"/>
    <n v="823.35"/>
    <n v="494.01"/>
    <n v="4.99"/>
    <n v="542"/>
    <x v="1"/>
    <n v="4455"/>
  </r>
  <r>
    <x v="49"/>
    <x v="481"/>
    <s v="Sarah J. Maas"/>
    <x v="1"/>
    <x v="2"/>
    <n v="4.53"/>
    <n v="123843"/>
    <x v="0"/>
    <n v="163.35"/>
    <n v="98.01"/>
    <n v="0.99"/>
    <n v="543"/>
    <x v="2"/>
    <n v="4455"/>
  </r>
  <r>
    <x v="5"/>
    <x v="482"/>
    <s v="Robert Jordan"/>
    <x v="1"/>
    <x v="3"/>
    <n v="4.0999999999999996"/>
    <n v="91046"/>
    <x v="1"/>
    <n v="823.35"/>
    <n v="494.01"/>
    <n v="4.99"/>
    <n v="544"/>
    <x v="2"/>
    <n v="4455"/>
  </r>
  <r>
    <x v="38"/>
    <x v="482"/>
    <s v="Alan Bradley"/>
    <x v="1"/>
    <x v="1"/>
    <n v="3.81"/>
    <n v="99841"/>
    <x v="0"/>
    <n v="1757.25"/>
    <n v="1054.3499999999999"/>
    <n v="10.65"/>
    <n v="545"/>
    <x v="3"/>
    <n v="4455"/>
  </r>
  <r>
    <x v="26"/>
    <x v="483"/>
    <s v="Donald Miller"/>
    <x v="0"/>
    <x v="1"/>
    <n v="3.92"/>
    <n v="82090"/>
    <x v="0"/>
    <n v="162.36000000000001"/>
    <n v="0"/>
    <n v="0.99"/>
    <n v="546"/>
    <x v="1"/>
    <n v="4428"/>
  </r>
  <r>
    <x v="29"/>
    <x v="484"/>
    <s v="Diana Gabaldon"/>
    <x v="1"/>
    <x v="2"/>
    <n v="4.43"/>
    <n v="87098"/>
    <x v="2"/>
    <n v="1746.6"/>
    <n v="1047.96"/>
    <n v="10.65"/>
    <n v="547"/>
    <x v="3"/>
    <n v="4428"/>
  </r>
  <r>
    <x v="49"/>
    <x v="485"/>
    <s v="Rick Riordan"/>
    <x v="1"/>
    <x v="2"/>
    <n v="4.41"/>
    <n v="110719"/>
    <x v="0"/>
    <n v="162.36000000000001"/>
    <n v="97.415999999999997"/>
    <n v="0.99"/>
    <n v="549"/>
    <x v="1"/>
    <n v="4428"/>
  </r>
  <r>
    <x v="95"/>
    <x v="486"/>
    <s v="Liane Moriarty"/>
    <x v="1"/>
    <x v="1"/>
    <n v="3.55"/>
    <n v="90477"/>
    <x v="0"/>
    <n v="162.36000000000001"/>
    <n v="0"/>
    <n v="0.99"/>
    <n v="549"/>
    <x v="1"/>
    <n v="4428"/>
  </r>
  <r>
    <x v="6"/>
    <x v="487"/>
    <s v="Brian K. Vaughan, Fiona Staples"/>
    <x v="1"/>
    <x v="3"/>
    <n v="4.25"/>
    <n v="131906"/>
    <x v="0"/>
    <n v="162.36000000000001"/>
    <n v="97.415999999999997"/>
    <n v="0.99"/>
    <n v="550"/>
    <x v="1"/>
    <n v="4428"/>
  </r>
  <r>
    <x v="4"/>
    <x v="488"/>
    <s v="Chad Harbach"/>
    <x v="1"/>
    <x v="1"/>
    <n v="3.99"/>
    <n v="81712"/>
    <x v="0"/>
    <n v="324.37"/>
    <n v="194.62200000000001"/>
    <n v="1.99"/>
    <n v="551"/>
    <x v="1"/>
    <n v="4401"/>
  </r>
  <r>
    <x v="114"/>
    <x v="489"/>
    <s v="Ernest Hemingway"/>
    <x v="1"/>
    <x v="3"/>
    <n v="4.04"/>
    <n v="69992"/>
    <x v="0"/>
    <n v="813.37"/>
    <n v="488.02199999999999"/>
    <n v="4.99"/>
    <n v="551"/>
    <x v="3"/>
    <n v="4401"/>
  </r>
  <r>
    <x v="15"/>
    <x v="490"/>
    <s v="Brandon Mull"/>
    <x v="1"/>
    <x v="3"/>
    <n v="4.08"/>
    <n v="99390"/>
    <x v="0"/>
    <n v="1470.26"/>
    <n v="882.15599999999995"/>
    <n v="9.02"/>
    <n v="553"/>
    <x v="4"/>
    <n v="4401"/>
  </r>
  <r>
    <x v="18"/>
    <x v="491"/>
    <s v="Lemony Snicket, Brett Helquist"/>
    <x v="1"/>
    <x v="1"/>
    <n v="3.91"/>
    <n v="118624"/>
    <x v="0"/>
    <n v="161.37"/>
    <n v="96.822000000000003"/>
    <n v="0.99"/>
    <n v="554"/>
    <x v="1"/>
    <n v="4401"/>
  </r>
  <r>
    <x v="61"/>
    <x v="492"/>
    <s v="Jim Butcher"/>
    <x v="1"/>
    <x v="3"/>
    <n v="4.18"/>
    <n v="97736"/>
    <x v="2"/>
    <n v="322.38"/>
    <n v="193.428"/>
    <n v="1.99"/>
    <n v="557"/>
    <x v="1"/>
    <n v="4374"/>
  </r>
  <r>
    <x v="27"/>
    <x v="493"/>
    <s v="Walter Isaacson"/>
    <x v="1"/>
    <x v="3"/>
    <n v="4.08"/>
    <n v="71156"/>
    <x v="2"/>
    <n v="322.38"/>
    <n v="193.428"/>
    <n v="1.99"/>
    <n v="557"/>
    <x v="1"/>
    <n v="4374"/>
  </r>
  <r>
    <x v="4"/>
    <x v="494"/>
    <s v="S.C. Stephens"/>
    <x v="1"/>
    <x v="3"/>
    <n v="4.37"/>
    <n v="83085"/>
    <x v="0"/>
    <n v="160.38"/>
    <n v="96.227999999999994"/>
    <n v="0.99"/>
    <n v="558"/>
    <x v="1"/>
    <n v="4374"/>
  </r>
  <r>
    <x v="31"/>
    <x v="495"/>
    <s v="John Grisham"/>
    <x v="1"/>
    <x v="1"/>
    <n v="3.81"/>
    <n v="80577"/>
    <x v="0"/>
    <n v="320.39"/>
    <n v="192.23400000000001"/>
    <n v="1.99"/>
    <n v="561"/>
    <x v="4"/>
    <n v="4347"/>
  </r>
  <r>
    <x v="79"/>
    <x v="496"/>
    <s v="Mildred D. Taylor"/>
    <x v="1"/>
    <x v="1"/>
    <n v="3.79"/>
    <n v="92980"/>
    <x v="2"/>
    <n v="642.39"/>
    <n v="385.43400000000003"/>
    <n v="3.99"/>
    <n v="561"/>
    <x v="2"/>
    <n v="4347"/>
  </r>
  <r>
    <x v="38"/>
    <x v="497"/>
    <s v="Seth Grahame-Smith, Jane Austen"/>
    <x v="1"/>
    <x v="0"/>
    <n v="3.28"/>
    <n v="103995"/>
    <x v="0"/>
    <n v="615.02"/>
    <n v="369.012"/>
    <n v="3.82"/>
    <n v="562"/>
    <x v="1"/>
    <n v="4347"/>
  </r>
  <r>
    <x v="17"/>
    <x v="498"/>
    <s v="David Sedaris"/>
    <x v="1"/>
    <x v="1"/>
    <n v="3.8"/>
    <n v="81616"/>
    <x v="0"/>
    <n v="478.4"/>
    <n v="287.04000000000002"/>
    <n v="2.99"/>
    <n v="565"/>
    <x v="6"/>
    <n v="4320"/>
  </r>
  <r>
    <x v="115"/>
    <x v="499"/>
    <s v="Fyodor Dostoyevsky, Constance Garnett, Alan Myers, Joseph Frank, Anna Brailovsky"/>
    <x v="1"/>
    <x v="3"/>
    <n v="4.18"/>
    <n v="74642"/>
    <x v="1"/>
    <n v="1438.4"/>
    <n v="863.04"/>
    <n v="8.99"/>
    <n v="565"/>
    <x v="3"/>
    <n v="4320"/>
  </r>
  <r>
    <x v="1"/>
    <x v="500"/>
    <s v="Douglas Adams"/>
    <x v="0"/>
    <x v="1"/>
    <n v="3.97"/>
    <n v="89569"/>
    <x v="2"/>
    <n v="478.4"/>
    <n v="0"/>
    <n v="2.99"/>
    <n v="566"/>
    <x v="1"/>
    <n v="4320"/>
  </r>
  <r>
    <x v="3"/>
    <x v="501"/>
    <s v="Jeff Kinney"/>
    <x v="0"/>
    <x v="3"/>
    <n v="4.0999999999999996"/>
    <n v="91831"/>
    <x v="0"/>
    <n v="478.4"/>
    <n v="0"/>
    <n v="2.99"/>
    <n v="567"/>
    <x v="1"/>
    <n v="4320"/>
  </r>
  <r>
    <x v="2"/>
    <x v="502"/>
    <s v="Mindy Kaling"/>
    <x v="1"/>
    <x v="1"/>
    <n v="3.89"/>
    <n v="74199"/>
    <x v="0"/>
    <n v="1598.4"/>
    <n v="959.04"/>
    <n v="9.99"/>
    <n v="568"/>
    <x v="4"/>
    <n v="4320"/>
  </r>
  <r>
    <x v="49"/>
    <x v="503"/>
    <s v="Veronica Roth"/>
    <x v="1"/>
    <x v="3"/>
    <n v="4.0999999999999996"/>
    <n v="97058"/>
    <x v="1"/>
    <n v="475.41"/>
    <n v="0"/>
    <n v="2.99"/>
    <n v="570"/>
    <x v="1"/>
    <n v="4293"/>
  </r>
  <r>
    <x v="2"/>
    <x v="504"/>
    <s v="Aziz Ansari, Eric Klinenberg"/>
    <x v="1"/>
    <x v="1"/>
    <n v="3.85"/>
    <n v="94231"/>
    <x v="0"/>
    <n v="157.41"/>
    <n v="0"/>
    <n v="0.99"/>
    <n v="571"/>
    <x v="1"/>
    <n v="4293"/>
  </r>
  <r>
    <x v="6"/>
    <x v="505"/>
    <s v="Katherine Applegate, Patricia Castelao"/>
    <x v="1"/>
    <x v="3"/>
    <n v="4.24"/>
    <n v="85136"/>
    <x v="0"/>
    <n v="475.41"/>
    <n v="0"/>
    <n v="2.99"/>
    <n v="572"/>
    <x v="1"/>
    <n v="4293"/>
  </r>
  <r>
    <x v="37"/>
    <x v="506"/>
    <s v="Sebastian Junger"/>
    <x v="0"/>
    <x v="3"/>
    <n v="4.07"/>
    <n v="45382"/>
    <x v="0"/>
    <n v="634.41"/>
    <n v="380.64600000000002"/>
    <n v="3.99"/>
    <n v="572"/>
    <x v="2"/>
    <n v="4293"/>
  </r>
  <r>
    <x v="29"/>
    <x v="507"/>
    <s v="Brandon Sanderson"/>
    <x v="1"/>
    <x v="3"/>
    <n v="4.17"/>
    <n v="95950"/>
    <x v="0"/>
    <n v="314.42"/>
    <n v="188.65199999999999"/>
    <n v="1.99"/>
    <n v="574"/>
    <x v="5"/>
    <n v="4266"/>
  </r>
  <r>
    <x v="3"/>
    <x v="508"/>
    <s v="Patrick Ness"/>
    <x v="1"/>
    <x v="1"/>
    <n v="3.96"/>
    <n v="99638"/>
    <x v="0"/>
    <n v="1136.02"/>
    <n v="681.61199999999997"/>
    <n v="7.19"/>
    <n v="575"/>
    <x v="1"/>
    <n v="4266"/>
  </r>
  <r>
    <x v="31"/>
    <x v="509"/>
    <s v="Jim Fergus"/>
    <x v="1"/>
    <x v="1"/>
    <n v="3.88"/>
    <n v="84367"/>
    <x v="0"/>
    <n v="472.42"/>
    <n v="283.452"/>
    <n v="2.99"/>
    <n v="576"/>
    <x v="1"/>
    <n v="4266"/>
  </r>
  <r>
    <x v="38"/>
    <x v="510"/>
    <s v="Jodi Picoult"/>
    <x v="1"/>
    <x v="1"/>
    <n v="3.96"/>
    <n v="90138"/>
    <x v="1"/>
    <n v="1420.42"/>
    <n v="852.25199999999995"/>
    <n v="8.99"/>
    <n v="577"/>
    <x v="0"/>
    <n v="4266"/>
  </r>
  <r>
    <x v="8"/>
    <x v="511"/>
    <s v="Stephen King, Darrel Anderson"/>
    <x v="1"/>
    <x v="1"/>
    <n v="3.98"/>
    <n v="84957"/>
    <x v="0"/>
    <n v="469.43"/>
    <n v="0"/>
    <n v="2.99"/>
    <n v="578"/>
    <x v="1"/>
    <n v="4239"/>
  </r>
  <r>
    <x v="6"/>
    <x v="512"/>
    <s v="Ally Condie"/>
    <x v="1"/>
    <x v="1"/>
    <n v="3.56"/>
    <n v="109290"/>
    <x v="0"/>
    <n v="155.43"/>
    <n v="0"/>
    <n v="0.99"/>
    <n v="580"/>
    <x v="1"/>
    <n v="4239"/>
  </r>
  <r>
    <x v="22"/>
    <x v="513"/>
    <s v="Salman Rushdie"/>
    <x v="1"/>
    <x v="1"/>
    <n v="3.99"/>
    <n v="75502"/>
    <x v="2"/>
    <n v="1474.23"/>
    <n v="884.53800000000001"/>
    <n v="9.39"/>
    <n v="581"/>
    <x v="1"/>
    <n v="4239"/>
  </r>
  <r>
    <x v="8"/>
    <x v="514"/>
    <s v="Max Brooks"/>
    <x v="1"/>
    <x v="1"/>
    <n v="3.86"/>
    <n v="82535"/>
    <x v="0"/>
    <n v="154.44"/>
    <n v="0"/>
    <n v="0.99"/>
    <n v="585"/>
    <x v="1"/>
    <n v="4212"/>
  </r>
  <r>
    <x v="32"/>
    <x v="515"/>
    <s v="John Grisham"/>
    <x v="1"/>
    <x v="1"/>
    <n v="3.83"/>
    <n v="80377"/>
    <x v="2"/>
    <n v="778.44"/>
    <n v="467.06400000000002"/>
    <n v="4.99"/>
    <n v="585"/>
    <x v="4"/>
    <n v="4212"/>
  </r>
  <r>
    <x v="102"/>
    <x v="516"/>
    <s v="Agatha Christie"/>
    <x v="1"/>
    <x v="3"/>
    <n v="4.03"/>
    <n v="93963"/>
    <x v="2"/>
    <n v="669.24"/>
    <n v="401.54399999999998"/>
    <n v="4.29"/>
    <n v="586"/>
    <x v="7"/>
    <n v="4212"/>
  </r>
  <r>
    <x v="31"/>
    <x v="517"/>
    <s v="Margaret Peterson Haddix"/>
    <x v="1"/>
    <x v="1"/>
    <n v="3.97"/>
    <n v="94478"/>
    <x v="0"/>
    <n v="2106.4499999999998"/>
    <n v="1263.8699999999999"/>
    <n v="13.59"/>
    <n v="589"/>
    <x v="0"/>
    <n v="4185"/>
  </r>
  <r>
    <x v="27"/>
    <x v="518"/>
    <s v="Michael Pollan"/>
    <x v="0"/>
    <x v="3"/>
    <n v="4.07"/>
    <n v="80434"/>
    <x v="0"/>
    <n v="618.45000000000005"/>
    <n v="0"/>
    <n v="3.99"/>
    <n v="589"/>
    <x v="1"/>
    <n v="4185"/>
  </r>
  <r>
    <x v="63"/>
    <x v="519"/>
    <s v="Elizabeth George Speare"/>
    <x v="0"/>
    <x v="1"/>
    <n v="3.97"/>
    <n v="105770"/>
    <x v="2"/>
    <n v="1230.46"/>
    <n v="738.27599999999995"/>
    <n v="7.99"/>
    <n v="591"/>
    <x v="3"/>
    <n v="4158"/>
  </r>
  <r>
    <x v="2"/>
    <x v="520"/>
    <s v="Kiera Cass"/>
    <x v="1"/>
    <x v="1"/>
    <n v="3.85"/>
    <n v="111044"/>
    <x v="0"/>
    <n v="614.46"/>
    <n v="0"/>
    <n v="3.99"/>
    <n v="592"/>
    <x v="1"/>
    <n v="4158"/>
  </r>
  <r>
    <x v="39"/>
    <x v="521"/>
    <s v="Sophie Kinsella"/>
    <x v="1"/>
    <x v="1"/>
    <n v="3.77"/>
    <n v="88139"/>
    <x v="0"/>
    <n v="460.46"/>
    <n v="0"/>
    <n v="2.99"/>
    <n v="594"/>
    <x v="1"/>
    <n v="4158"/>
  </r>
  <r>
    <x v="116"/>
    <x v="522"/>
    <s v="Wilkie Collins, Matthew Sweet"/>
    <x v="1"/>
    <x v="1"/>
    <n v="3.98"/>
    <n v="93134"/>
    <x v="0"/>
    <n v="768.46"/>
    <n v="0"/>
    <n v="4.99"/>
    <n v="594"/>
    <x v="1"/>
    <n v="4158"/>
  </r>
  <r>
    <x v="2"/>
    <x v="523"/>
    <s v="Robert Galbraith, J.K. Rowling"/>
    <x v="1"/>
    <x v="3"/>
    <n v="4.21"/>
    <n v="66979"/>
    <x v="0"/>
    <n v="1167.32"/>
    <n v="700.39200000000005"/>
    <n v="7.58"/>
    <n v="595"/>
    <x v="3"/>
    <n v="4158"/>
  </r>
  <r>
    <x v="38"/>
    <x v="524"/>
    <s v="Jenny Han"/>
    <x v="0"/>
    <x v="1"/>
    <n v="3.96"/>
    <n v="104730"/>
    <x v="0"/>
    <n v="610.47"/>
    <n v="0"/>
    <n v="3.99"/>
    <n v="596"/>
    <x v="1"/>
    <n v="4131"/>
  </r>
  <r>
    <x v="31"/>
    <x v="525"/>
    <s v="Janet Evanovich"/>
    <x v="0"/>
    <x v="3"/>
    <n v="4.17"/>
    <n v="106871"/>
    <x v="0"/>
    <n v="151.47"/>
    <n v="90.882000000000005"/>
    <n v="0.99"/>
    <n v="597"/>
    <x v="1"/>
    <n v="4131"/>
  </r>
  <r>
    <x v="21"/>
    <x v="526"/>
    <s v="James McBride"/>
    <x v="0"/>
    <x v="3"/>
    <n v="4.0599999999999996"/>
    <n v="80906"/>
    <x v="0"/>
    <n v="151.47"/>
    <n v="0"/>
    <n v="0.99"/>
    <n v="598"/>
    <x v="1"/>
    <n v="4131"/>
  </r>
  <r>
    <x v="38"/>
    <x v="527"/>
    <s v="Steven D. Levitt, Stephen J. Dubner"/>
    <x v="0"/>
    <x v="1"/>
    <n v="3.95"/>
    <n v="85006"/>
    <x v="0"/>
    <n v="1176.57"/>
    <n v="705.94200000000001"/>
    <n v="7.69"/>
    <n v="600"/>
    <x v="3"/>
    <n v="4131"/>
  </r>
  <r>
    <x v="15"/>
    <x v="528"/>
    <s v="Karen Marie Moning"/>
    <x v="1"/>
    <x v="3"/>
    <n v="4.1399999999999997"/>
    <n v="110812"/>
    <x v="0"/>
    <n v="1618.8"/>
    <n v="971.28"/>
    <n v="10.65"/>
    <n v="601"/>
    <x v="3"/>
    <n v="4104"/>
  </r>
  <r>
    <x v="30"/>
    <x v="529"/>
    <s v="Terry Goodkind"/>
    <x v="0"/>
    <x v="3"/>
    <n v="4.0999999999999996"/>
    <n v="83235"/>
    <x v="0"/>
    <n v="1111.1199999999999"/>
    <n v="666.67200000000003"/>
    <n v="7.31"/>
    <n v="603"/>
    <x v="3"/>
    <n v="4104"/>
  </r>
  <r>
    <x v="10"/>
    <x v="530"/>
    <s v="Emily Giffin"/>
    <x v="0"/>
    <x v="1"/>
    <n v="3.73"/>
    <n v="83461"/>
    <x v="0"/>
    <n v="910.48"/>
    <n v="546.28800000000001"/>
    <n v="5.99"/>
    <n v="603"/>
    <x v="5"/>
    <n v="4104"/>
  </r>
  <r>
    <x v="117"/>
    <x v="531"/>
    <s v="William Makepeace Thackeray, John Carey"/>
    <x v="1"/>
    <x v="1"/>
    <n v="3.76"/>
    <n v="91323"/>
    <x v="0"/>
    <n v="149.49"/>
    <n v="0"/>
    <n v="0.99"/>
    <n v="605"/>
    <x v="1"/>
    <n v="4077"/>
  </r>
  <r>
    <x v="43"/>
    <x v="532"/>
    <s v="Kurt Vonnegut Jr."/>
    <x v="3"/>
    <x v="3"/>
    <n v="4.16"/>
    <n v="72493"/>
    <x v="0"/>
    <n v="151"/>
    <n v="90.6"/>
    <n v="1"/>
    <n v="607"/>
    <x v="1"/>
    <n v="4077"/>
  </r>
  <r>
    <x v="76"/>
    <x v="533"/>
    <s v="Stephen King, Dominique Dill"/>
    <x v="4"/>
    <x v="1"/>
    <n v="3.81"/>
    <n v="71053"/>
    <x v="0"/>
    <n v="661.38"/>
    <n v="396.82799999999997"/>
    <n v="4.38"/>
    <n v="608"/>
    <x v="1"/>
    <n v="4077"/>
  </r>
  <r>
    <x v="95"/>
    <x v="534"/>
    <s v="Cynthia D'Aprix Sweeney"/>
    <x v="1"/>
    <x v="0"/>
    <n v="3.45"/>
    <n v="79762"/>
    <x v="2"/>
    <n v="1508.49"/>
    <n v="905.09400000000005"/>
    <n v="9.99"/>
    <n v="608"/>
    <x v="1"/>
    <n v="4077"/>
  </r>
  <r>
    <x v="61"/>
    <x v="535"/>
    <s v="Bill Willingham, Lan Medina, Steve Leialoha, Craig Hamilton, James Jean"/>
    <x v="1"/>
    <x v="1"/>
    <n v="3.99"/>
    <n v="101016"/>
    <x v="0"/>
    <n v="1125"/>
    <n v="675"/>
    <n v="7.5"/>
    <n v="610"/>
    <x v="3"/>
    <n v="4050"/>
  </r>
  <r>
    <x v="61"/>
    <x v="536"/>
    <s v="David    Allen"/>
    <x v="3"/>
    <x v="1"/>
    <n v="3.98"/>
    <n v="75665"/>
    <x v="0"/>
    <n v="598.5"/>
    <n v="0"/>
    <n v="3.99"/>
    <n v="611"/>
    <x v="1"/>
    <n v="4050"/>
  </r>
  <r>
    <x v="20"/>
    <x v="537"/>
    <s v="James Redfield"/>
    <x v="0"/>
    <x v="1"/>
    <n v="3.6"/>
    <n v="72675"/>
    <x v="0"/>
    <n v="594.51"/>
    <n v="356.70600000000002"/>
    <n v="3.99"/>
    <n v="615"/>
    <x v="3"/>
    <n v="4023"/>
  </r>
  <r>
    <x v="6"/>
    <x v="538"/>
    <s v="Huntley Fitzpatrick"/>
    <x v="1"/>
    <x v="3"/>
    <n v="4.0199999999999996"/>
    <n v="102012"/>
    <x v="0"/>
    <n v="594.51"/>
    <n v="356.70600000000002"/>
    <n v="3.99"/>
    <n v="615"/>
    <x v="5"/>
    <n v="4023"/>
  </r>
  <r>
    <x v="6"/>
    <x v="539"/>
    <s v="Ken Follett"/>
    <x v="1"/>
    <x v="3"/>
    <n v="4.29"/>
    <n v="71971"/>
    <x v="2"/>
    <n v="1488.51"/>
    <n v="893.10599999999999"/>
    <n v="9.99"/>
    <n v="616"/>
    <x v="7"/>
    <n v="4023"/>
  </r>
  <r>
    <x v="17"/>
    <x v="540"/>
    <s v="Haruki Murakami, Philip Gabriel"/>
    <x v="1"/>
    <x v="1"/>
    <n v="3.82"/>
    <n v="67873"/>
    <x v="1"/>
    <n v="594.51"/>
    <n v="0"/>
    <n v="3.99"/>
    <n v="616"/>
    <x v="1"/>
    <n v="4023"/>
  </r>
  <r>
    <x v="32"/>
    <x v="541"/>
    <s v="Alice Sebold"/>
    <x v="1"/>
    <x v="1"/>
    <n v="3.77"/>
    <n v="77462"/>
    <x v="3"/>
    <n v="1427.42"/>
    <n v="856.452"/>
    <n v="9.58"/>
    <n v="617"/>
    <x v="1"/>
    <n v="4023"/>
  </r>
  <r>
    <x v="113"/>
    <x v="542"/>
    <s v="Virginia Woolf"/>
    <x v="1"/>
    <x v="1"/>
    <n v="3.76"/>
    <n v="83066"/>
    <x v="0"/>
    <n v="1144.04"/>
    <n v="686.42399999999998"/>
    <n v="7.73"/>
    <n v="619"/>
    <x v="6"/>
    <n v="3996"/>
  </r>
  <r>
    <x v="8"/>
    <x v="543"/>
    <s v="Chetan Bhagat"/>
    <x v="3"/>
    <x v="0"/>
    <n v="3.43"/>
    <n v="67438"/>
    <x v="0"/>
    <n v="146.52000000000001"/>
    <n v="0"/>
    <n v="0.99"/>
    <n v="620"/>
    <x v="1"/>
    <n v="3996"/>
  </r>
  <r>
    <x v="20"/>
    <x v="544"/>
    <s v="Laurell K. Hamilton"/>
    <x v="1"/>
    <x v="3"/>
    <n v="4.0199999999999996"/>
    <n v="104252"/>
    <x v="0"/>
    <n v="442.52"/>
    <n v="0"/>
    <n v="2.99"/>
    <n v="622"/>
    <x v="1"/>
    <n v="3996"/>
  </r>
  <r>
    <x v="39"/>
    <x v="545"/>
    <s v="Markus Zusak"/>
    <x v="0"/>
    <x v="3"/>
    <n v="4.09"/>
    <n v="93119"/>
    <x v="0"/>
    <n v="145.53"/>
    <n v="87.317999999999998"/>
    <n v="0.99"/>
    <n v="624"/>
    <x v="1"/>
    <n v="3969"/>
  </r>
  <r>
    <x v="118"/>
    <x v="546"/>
    <s v="Thomas Hardy, Rosemarie Morgan, Shannon Russell"/>
    <x v="1"/>
    <x v="1"/>
    <n v="3.92"/>
    <n v="87427"/>
    <x v="0"/>
    <n v="1997.73"/>
    <n v="1198.6379999999999"/>
    <n v="13.59"/>
    <n v="624"/>
    <x v="0"/>
    <n v="3969"/>
  </r>
  <r>
    <x v="1"/>
    <x v="547"/>
    <s v="Terry Pratchett"/>
    <x v="1"/>
    <x v="1"/>
    <n v="4"/>
    <n v="88673"/>
    <x v="0"/>
    <n v="145.53"/>
    <n v="0"/>
    <n v="0.99"/>
    <n v="625"/>
    <x v="1"/>
    <n v="3969"/>
  </r>
  <r>
    <x v="18"/>
    <x v="548"/>
    <s v="Mark Z. Danielewski"/>
    <x v="1"/>
    <x v="3"/>
    <n v="4.13"/>
    <n v="75469"/>
    <x v="0"/>
    <n v="439.53"/>
    <n v="0"/>
    <n v="2.99"/>
    <n v="625"/>
    <x v="1"/>
    <n v="3969"/>
  </r>
  <r>
    <x v="20"/>
    <x v="549"/>
    <s v="Patricia Cornwell"/>
    <x v="6"/>
    <x v="3"/>
    <n v="4.1100000000000003"/>
    <n v="83695"/>
    <x v="0"/>
    <n v="439.53"/>
    <n v="263.71800000000002"/>
    <n v="2.99"/>
    <n v="626"/>
    <x v="1"/>
    <n v="3969"/>
  </r>
  <r>
    <x v="17"/>
    <x v="550"/>
    <s v="John Grisham"/>
    <x v="1"/>
    <x v="1"/>
    <n v="3.98"/>
    <n v="56315"/>
    <x v="0"/>
    <n v="1074.57"/>
    <n v="644.74199999999996"/>
    <n v="7.31"/>
    <n v="627"/>
    <x v="3"/>
    <n v="3969"/>
  </r>
  <r>
    <x v="4"/>
    <x v="551"/>
    <s v="P.C. Cast, Kristin Cast"/>
    <x v="0"/>
    <x v="3"/>
    <n v="4.0199999999999996"/>
    <n v="101234"/>
    <x v="0"/>
    <n v="675.98"/>
    <n v="405.58800000000002"/>
    <n v="4.63"/>
    <n v="628"/>
    <x v="2"/>
    <n v="3942"/>
  </r>
  <r>
    <x v="119"/>
    <x v="552"/>
    <s v="Willa Cather"/>
    <x v="1"/>
    <x v="1"/>
    <n v="3.76"/>
    <n v="81102"/>
    <x v="0"/>
    <n v="582.54"/>
    <n v="0"/>
    <n v="3.99"/>
    <n v="629"/>
    <x v="1"/>
    <n v="3942"/>
  </r>
  <r>
    <x v="15"/>
    <x v="553"/>
    <s v="Susan Beth Pfeffer"/>
    <x v="1"/>
    <x v="1"/>
    <n v="3.89"/>
    <n v="94282"/>
    <x v="2"/>
    <n v="1097.92"/>
    <n v="658.75199999999995"/>
    <n v="7.52"/>
    <n v="629"/>
    <x v="1"/>
    <n v="3942"/>
  </r>
  <r>
    <x v="8"/>
    <x v="554"/>
    <s v="Jon Stewart, Ben Karlin, David Javerbaum, Rich Bloomquist, Steve Bodow, Tim Carvell, Eric Drysdale, J.R. Havlan, Scott Jacobson, Tom Johnson, Rob Kutner, Chris Regan, Jason Reich, Jason Ross, Stephen Colbert, Samantha Bee, Rob Corddry, Brendan Hay, Ed Helms"/>
    <x v="1"/>
    <x v="3"/>
    <n v="4.0199999999999996"/>
    <n v="74511"/>
    <x v="2"/>
    <n v="1166.54"/>
    <n v="699.92399999999998"/>
    <n v="7.99"/>
    <n v="630"/>
    <x v="4"/>
    <n v="3942"/>
  </r>
  <r>
    <x v="8"/>
    <x v="555"/>
    <s v="Don Piper, Cecil Murphey"/>
    <x v="1"/>
    <x v="1"/>
    <n v="3.91"/>
    <n v="67937"/>
    <x v="0"/>
    <n v="1251.22"/>
    <n v="750.73199999999997"/>
    <n v="8.57"/>
    <n v="631"/>
    <x v="1"/>
    <n v="3942"/>
  </r>
  <r>
    <x v="6"/>
    <x v="556"/>
    <s v="Nicholas Sparks"/>
    <x v="1"/>
    <x v="3"/>
    <n v="4.1399999999999997"/>
    <n v="71276"/>
    <x v="0"/>
    <n v="144.54"/>
    <n v="0"/>
    <n v="0.99"/>
    <n v="631"/>
    <x v="1"/>
    <n v="3942"/>
  </r>
  <r>
    <x v="120"/>
    <x v="557"/>
    <s v="Lao Tzu, Gia-Fu Feng, Jane English, Chungliang Al Huang, Rowena Pattee Kryder, Toinette Lippe"/>
    <x v="1"/>
    <x v="3"/>
    <n v="4.3099999999999996"/>
    <n v="39863"/>
    <x v="0"/>
    <n v="665.55"/>
    <n v="399.33"/>
    <n v="4.59"/>
    <n v="632"/>
    <x v="3"/>
    <n v="3915"/>
  </r>
  <r>
    <x v="64"/>
    <x v="558"/>
    <s v="Jeffrey Archer"/>
    <x v="0"/>
    <x v="3"/>
    <n v="4.2699999999999996"/>
    <n v="74052"/>
    <x v="1"/>
    <n v="723.55"/>
    <n v="0"/>
    <n v="4.99"/>
    <n v="632"/>
    <x v="1"/>
    <n v="3915"/>
  </r>
  <r>
    <x v="3"/>
    <x v="559"/>
    <s v="Jodi Picoult"/>
    <x v="0"/>
    <x v="1"/>
    <n v="3.91"/>
    <n v="86471"/>
    <x v="0"/>
    <n v="990.35"/>
    <n v="594.21"/>
    <n v="6.83"/>
    <n v="634"/>
    <x v="5"/>
    <n v="3915"/>
  </r>
  <r>
    <x v="26"/>
    <x v="560"/>
    <s v="Augusten Burroughs"/>
    <x v="1"/>
    <x v="3"/>
    <n v="4.01"/>
    <n v="70550"/>
    <x v="3"/>
    <n v="1448.55"/>
    <n v="869.13"/>
    <n v="9.99"/>
    <n v="635"/>
    <x v="1"/>
    <n v="3915"/>
  </r>
  <r>
    <x v="61"/>
    <x v="561"/>
    <s v="James Patterson"/>
    <x v="3"/>
    <x v="3"/>
    <n v="4.1500000000000004"/>
    <n v="77538"/>
    <x v="0"/>
    <n v="868.55"/>
    <n v="521.13"/>
    <n v="5.99"/>
    <n v="636"/>
    <x v="2"/>
    <n v="3915"/>
  </r>
  <r>
    <x v="2"/>
    <x v="562"/>
    <s v="E.L. James"/>
    <x v="3"/>
    <x v="1"/>
    <n v="3.76"/>
    <n v="75320"/>
    <x v="0"/>
    <n v="1134.72"/>
    <n v="680.83199999999999"/>
    <n v="7.88"/>
    <n v="637"/>
    <x v="2"/>
    <n v="3888"/>
  </r>
  <r>
    <x v="121"/>
    <x v="563"/>
    <s v="Frank Herbert"/>
    <x v="1"/>
    <x v="1"/>
    <n v="3.86"/>
    <n v="82580"/>
    <x v="0"/>
    <n v="570.57000000000005"/>
    <n v="0"/>
    <n v="3.99"/>
    <n v="641"/>
    <x v="1"/>
    <n v="3861"/>
  </r>
  <r>
    <x v="99"/>
    <x v="564"/>
    <s v="C.S. Lewis"/>
    <x v="0"/>
    <x v="3"/>
    <n v="4.28"/>
    <n v="75031"/>
    <x v="1"/>
    <n v="1428.57"/>
    <n v="857.14200000000005"/>
    <n v="9.99"/>
    <n v="642"/>
    <x v="3"/>
    <n v="3861"/>
  </r>
  <r>
    <x v="8"/>
    <x v="565"/>
    <s v="Jennifer Weiner"/>
    <x v="1"/>
    <x v="1"/>
    <n v="3.76"/>
    <n v="77592"/>
    <x v="2"/>
    <n v="1072.5"/>
    <n v="643.5"/>
    <n v="7.5"/>
    <n v="645"/>
    <x v="4"/>
    <n v="3861"/>
  </r>
  <r>
    <x v="122"/>
    <x v="566"/>
    <s v="Hans Christian Andersen, Lily Owens, Arthur Rackham, Hans Richter"/>
    <x v="1"/>
    <x v="3"/>
    <n v="4.28"/>
    <n v="90999"/>
    <x v="0"/>
    <n v="708.58"/>
    <n v="0"/>
    <n v="4.99"/>
    <n v="646"/>
    <x v="1"/>
    <n v="3834"/>
  </r>
  <r>
    <x v="38"/>
    <x v="567"/>
    <s v="Mark Cotta Vaz"/>
    <x v="0"/>
    <x v="3"/>
    <n v="4.34"/>
    <n v="82399"/>
    <x v="0"/>
    <n v="1560.58"/>
    <n v="936.34799999999996"/>
    <n v="10.99"/>
    <n v="647"/>
    <x v="3"/>
    <n v="61560"/>
  </r>
  <r>
    <x v="49"/>
    <x v="568"/>
    <s v="Colleen Hoover"/>
    <x v="1"/>
    <x v="3"/>
    <n v="4.33"/>
    <n v="81707"/>
    <x v="0"/>
    <n v="969.86"/>
    <n v="581.91600000000005"/>
    <n v="6.83"/>
    <n v="649"/>
    <x v="4"/>
    <n v="61128"/>
  </r>
  <r>
    <x v="32"/>
    <x v="569"/>
    <s v="Jane Green"/>
    <x v="1"/>
    <x v="0"/>
    <n v="3.41"/>
    <n v="78132"/>
    <x v="0"/>
    <n v="562.59"/>
    <n v="0"/>
    <n v="3.99"/>
    <n v="651"/>
    <x v="1"/>
    <n v="61128"/>
  </r>
  <r>
    <x v="123"/>
    <x v="570"/>
    <s v="L.M. Montgomery"/>
    <x v="1"/>
    <x v="3"/>
    <n v="4.21"/>
    <n v="97049"/>
    <x v="0"/>
    <n v="139.59"/>
    <n v="83.754000000000005"/>
    <n v="0.99"/>
    <n v="652"/>
    <x v="4"/>
    <n v="60696"/>
  </r>
  <r>
    <x v="124"/>
    <x v="571"/>
    <s v="Friedrich Nietzsche, Walter Kaufmann"/>
    <x v="1"/>
    <x v="3"/>
    <n v="4.05"/>
    <n v="65362"/>
    <x v="0"/>
    <n v="1030.71"/>
    <n v="618.42600000000004"/>
    <n v="7.31"/>
    <n v="652"/>
    <x v="3"/>
    <n v="59400"/>
  </r>
  <r>
    <x v="91"/>
    <x v="572"/>
    <s v="Elizabeth Gaskell, Alan Shelston"/>
    <x v="1"/>
    <x v="3"/>
    <n v="4.13"/>
    <n v="95274"/>
    <x v="0"/>
    <n v="562.59"/>
    <n v="0"/>
    <n v="3.99"/>
    <n v="653"/>
    <x v="1"/>
    <n v="58968"/>
  </r>
  <r>
    <x v="4"/>
    <x v="573"/>
    <s v="Jaycee Dugard"/>
    <x v="0"/>
    <x v="1"/>
    <n v="3.89"/>
    <n v="72713"/>
    <x v="1"/>
    <n v="558.6"/>
    <n v="0"/>
    <n v="3.99"/>
    <n v="655"/>
    <x v="1"/>
    <n v="57240"/>
  </r>
  <r>
    <x v="10"/>
    <x v="574"/>
    <s v="Amish Tripathi"/>
    <x v="1"/>
    <x v="1"/>
    <n v="4"/>
    <n v="62784"/>
    <x v="0"/>
    <n v="418.6"/>
    <n v="251.16"/>
    <n v="2.99"/>
    <n v="658"/>
    <x v="1"/>
    <n v="56808"/>
  </r>
  <r>
    <x v="30"/>
    <x v="575"/>
    <s v="Michael Crichton"/>
    <x v="1"/>
    <x v="1"/>
    <n v="3.72"/>
    <n v="83389"/>
    <x v="0"/>
    <n v="1398.6"/>
    <n v="839.16"/>
    <n v="9.99"/>
    <n v="658"/>
    <x v="1"/>
    <n v="55728"/>
  </r>
  <r>
    <x v="17"/>
    <x v="576"/>
    <s v="Lauren Oliver"/>
    <x v="1"/>
    <x v="1"/>
    <n v="3.74"/>
    <n v="100593"/>
    <x v="0"/>
    <n v="698.6"/>
    <n v="0"/>
    <n v="4.99"/>
    <n v="659"/>
    <x v="1"/>
    <n v="55080"/>
  </r>
  <r>
    <x v="21"/>
    <x v="577"/>
    <s v="Robert Jordan"/>
    <x v="1"/>
    <x v="1"/>
    <n v="4"/>
    <n v="86421"/>
    <x v="2"/>
    <n v="137.61000000000001"/>
    <n v="0"/>
    <n v="0.99"/>
    <n v="661"/>
    <x v="1"/>
    <n v="54000"/>
  </r>
  <r>
    <x v="125"/>
    <x v="578"/>
    <s v="Aesop, Laura Harris, Laura Gibbs"/>
    <x v="1"/>
    <x v="3"/>
    <n v="4.05"/>
    <n v="88508"/>
    <x v="0"/>
    <n v="693.61"/>
    <n v="0"/>
    <n v="4.99"/>
    <n v="663"/>
    <x v="1"/>
    <n v="53784"/>
  </r>
  <r>
    <x v="54"/>
    <x v="579"/>
    <s v="Cormac McCarthy"/>
    <x v="1"/>
    <x v="3"/>
    <n v="4.18"/>
    <n v="71095"/>
    <x v="0"/>
    <n v="725.88"/>
    <n v="435.52800000000002"/>
    <n v="5.26"/>
    <n v="665"/>
    <x v="3"/>
    <n v="53784"/>
  </r>
  <r>
    <x v="6"/>
    <x v="580"/>
    <s v="Becca Fitzpatrick"/>
    <x v="1"/>
    <x v="3"/>
    <n v="4.22"/>
    <n v="107569"/>
    <x v="0"/>
    <n v="1516.62"/>
    <n v="909.97199999999998"/>
    <n v="10.99"/>
    <n v="666"/>
    <x v="3"/>
    <n v="53784"/>
  </r>
  <r>
    <x v="54"/>
    <x v="581"/>
    <s v="Stephen King"/>
    <x v="1"/>
    <x v="1"/>
    <n v="3.93"/>
    <n v="82320"/>
    <x v="0"/>
    <n v="957.72"/>
    <n v="574.63199999999995"/>
    <n v="6.94"/>
    <n v="668"/>
    <x v="4"/>
    <n v="53568"/>
  </r>
  <r>
    <x v="39"/>
    <x v="582"/>
    <s v="Chuck Palahniuk"/>
    <x v="1"/>
    <x v="1"/>
    <n v="3.73"/>
    <n v="66713"/>
    <x v="0"/>
    <n v="1094.6300000000001"/>
    <n v="656.77800000000002"/>
    <n v="7.99"/>
    <n v="671"/>
    <x v="2"/>
    <n v="53352"/>
  </r>
  <r>
    <x v="38"/>
    <x v="583"/>
    <s v="Chetan Bhagat"/>
    <x v="1"/>
    <x v="1"/>
    <n v="3.42"/>
    <n v="67866"/>
    <x v="0"/>
    <n v="836.4"/>
    <n v="501.84"/>
    <n v="6.15"/>
    <n v="675"/>
    <x v="1"/>
    <n v="53352"/>
  </r>
  <r>
    <x v="29"/>
    <x v="584"/>
    <s v="Matsuri Hino, Tomo Kimura"/>
    <x v="1"/>
    <x v="3"/>
    <n v="4.0999999999999996"/>
    <n v="89733"/>
    <x v="2"/>
    <n v="1225.3599999999999"/>
    <n v="0"/>
    <n v="9.01"/>
    <n v="675"/>
    <x v="1"/>
    <n v="53136"/>
  </r>
  <r>
    <x v="39"/>
    <x v="585"/>
    <s v="Jim Butcher"/>
    <x v="1"/>
    <x v="3"/>
    <n v="4.3"/>
    <n v="91012"/>
    <x v="0"/>
    <n v="542.64"/>
    <n v="0"/>
    <n v="3.99"/>
    <n v="676"/>
    <x v="1"/>
    <n v="52920"/>
  </r>
  <r>
    <x v="42"/>
    <x v="586"/>
    <s v="Anne McCaffrey, Teodor PanasiÅ„ski"/>
    <x v="1"/>
    <x v="3"/>
    <n v="4.0999999999999996"/>
    <n v="95378"/>
    <x v="0"/>
    <n v="133.65"/>
    <n v="0"/>
    <n v="0.99"/>
    <n v="679"/>
    <x v="1"/>
    <n v="52488"/>
  </r>
  <r>
    <x v="27"/>
    <x v="587"/>
    <s v="John D. Rateliff, J.R.R. Tolkien"/>
    <x v="1"/>
    <x v="1"/>
    <n v="3.81"/>
    <n v="108399"/>
    <x v="0"/>
    <n v="538.65"/>
    <n v="0"/>
    <n v="3.99"/>
    <n v="680"/>
    <x v="1"/>
    <n v="52488"/>
  </r>
  <r>
    <x v="49"/>
    <x v="588"/>
    <s v="Colleen Hoover"/>
    <x v="1"/>
    <x v="3"/>
    <n v="4.3"/>
    <n v="107583"/>
    <x v="0"/>
    <n v="808.65"/>
    <n v="485.19"/>
    <n v="5.99"/>
    <n v="681"/>
    <x v="4"/>
    <n v="52488"/>
  </r>
  <r>
    <x v="31"/>
    <x v="589"/>
    <s v="Joanne Harris"/>
    <x v="1"/>
    <x v="1"/>
    <n v="3.95"/>
    <n v="84770"/>
    <x v="2"/>
    <n v="873.68"/>
    <n v="524.20799999999997"/>
    <n v="6.52"/>
    <n v="682"/>
    <x v="1"/>
    <n v="52056"/>
  </r>
  <r>
    <x v="50"/>
    <x v="590"/>
    <s v="Jay Anson"/>
    <x v="1"/>
    <x v="1"/>
    <n v="3.82"/>
    <n v="80959"/>
    <x v="0"/>
    <n v="1191.26"/>
    <n v="714.75599999999997"/>
    <n v="8.89"/>
    <n v="684"/>
    <x v="2"/>
    <n v="52056"/>
  </r>
  <r>
    <x v="76"/>
    <x v="591"/>
    <s v="Michael Ondaatje"/>
    <x v="1"/>
    <x v="1"/>
    <n v="3.88"/>
    <n v="83741"/>
    <x v="0"/>
    <n v="663.67"/>
    <n v="0"/>
    <n v="4.99"/>
    <n v="688"/>
    <x v="1"/>
    <n v="51840"/>
  </r>
  <r>
    <x v="6"/>
    <x v="592"/>
    <s v="Sylvain Reynard"/>
    <x v="1"/>
    <x v="3"/>
    <n v="4.22"/>
    <n v="91213"/>
    <x v="0"/>
    <n v="530.66999999999996"/>
    <n v="0"/>
    <n v="3.99"/>
    <n v="689"/>
    <x v="1"/>
    <n v="51624"/>
  </r>
  <r>
    <x v="126"/>
    <x v="593"/>
    <s v="James Joyce, Jeri Johnson"/>
    <x v="1"/>
    <x v="1"/>
    <n v="3.85"/>
    <n v="73140"/>
    <x v="1"/>
    <n v="397.67"/>
    <n v="238.602"/>
    <n v="2.99"/>
    <n v="690"/>
    <x v="4"/>
    <n v="51408"/>
  </r>
  <r>
    <x v="38"/>
    <x v="594"/>
    <s v="Colum McCann"/>
    <x v="0"/>
    <x v="1"/>
    <n v="3.93"/>
    <n v="71515"/>
    <x v="0"/>
    <n v="394.68"/>
    <n v="0"/>
    <n v="2.99"/>
    <n v="692"/>
    <x v="1"/>
    <n v="51192"/>
  </r>
  <r>
    <x v="26"/>
    <x v="595"/>
    <s v="Eoin Colfer"/>
    <x v="1"/>
    <x v="3"/>
    <n v="4.04"/>
    <n v="94437"/>
    <x v="1"/>
    <n v="394.68"/>
    <n v="0"/>
    <n v="2.99"/>
    <n v="692"/>
    <x v="1"/>
    <n v="51192"/>
  </r>
  <r>
    <x v="61"/>
    <x v="596"/>
    <s v="Harlan Coben"/>
    <x v="1"/>
    <x v="3"/>
    <n v="4.1100000000000003"/>
    <n v="78070"/>
    <x v="0"/>
    <n v="394.68"/>
    <n v="236.80799999999999"/>
    <n v="2.99"/>
    <n v="693"/>
    <x v="1"/>
    <n v="50976"/>
  </r>
  <r>
    <x v="1"/>
    <x v="597"/>
    <s v="Stephen King"/>
    <x v="1"/>
    <x v="2"/>
    <n v="3.48"/>
    <n v="89262"/>
    <x v="0"/>
    <n v="790.68"/>
    <n v="0"/>
    <n v="5.99"/>
    <n v="693"/>
    <x v="1"/>
    <n v="50760"/>
  </r>
  <r>
    <x v="10"/>
    <x v="598"/>
    <s v="Rachel Hawkins"/>
    <x v="1"/>
    <x v="1"/>
    <n v="3.96"/>
    <n v="109881"/>
    <x v="1"/>
    <n v="526.67999999999995"/>
    <n v="0"/>
    <n v="3.99"/>
    <n v="693"/>
    <x v="1"/>
    <n v="50544"/>
  </r>
  <r>
    <x v="10"/>
    <x v="599"/>
    <s v="Austin Kleon"/>
    <x v="0"/>
    <x v="1"/>
    <n v="3.86"/>
    <n v="93625"/>
    <x v="0"/>
    <n v="130.68"/>
    <n v="78.408000000000001"/>
    <n v="0.99"/>
    <n v="694"/>
    <x v="1"/>
    <n v="50328"/>
  </r>
  <r>
    <x v="32"/>
    <x v="600"/>
    <s v="Neal Stephenson"/>
    <x v="1"/>
    <x v="3"/>
    <n v="4.25"/>
    <n v="72683"/>
    <x v="3"/>
    <n v="327.36"/>
    <n v="196.416"/>
    <n v="2.48"/>
    <n v="694"/>
    <x v="4"/>
    <n v="50112"/>
  </r>
  <r>
    <x v="17"/>
    <x v="601"/>
    <s v="Christina Lauren"/>
    <x v="1"/>
    <x v="3"/>
    <n v="4.05"/>
    <n v="111668"/>
    <x v="0"/>
    <n v="394.68"/>
    <n v="0"/>
    <n v="2.99"/>
    <n v="695"/>
    <x v="1"/>
    <n v="49896"/>
  </r>
  <r>
    <x v="18"/>
    <x v="602"/>
    <s v="Barbara Kingsolver"/>
    <x v="0"/>
    <x v="1"/>
    <n v="3.98"/>
    <n v="78529"/>
    <x v="0"/>
    <n v="260.69"/>
    <n v="156.41399999999999"/>
    <n v="1.99"/>
    <n v="696"/>
    <x v="5"/>
    <n v="49896"/>
  </r>
  <r>
    <x v="21"/>
    <x v="603"/>
    <s v="Joyce Carol Oates"/>
    <x v="1"/>
    <x v="1"/>
    <n v="3.7"/>
    <n v="77251"/>
    <x v="0"/>
    <n v="1395.15"/>
    <n v="837.09"/>
    <n v="10.65"/>
    <n v="698"/>
    <x v="2"/>
    <n v="49680"/>
  </r>
  <r>
    <x v="20"/>
    <x v="604"/>
    <s v="Scott McCloud"/>
    <x v="0"/>
    <x v="1"/>
    <n v="3.98"/>
    <n v="77277"/>
    <x v="2"/>
    <n v="129.69"/>
    <n v="77.813999999999993"/>
    <n v="0.99"/>
    <n v="699"/>
    <x v="1"/>
    <n v="49680"/>
  </r>
  <r>
    <x v="10"/>
    <x v="605"/>
    <s v="Kami Garcia, Margaret Stohl"/>
    <x v="0"/>
    <x v="1"/>
    <n v="3.84"/>
    <n v="95447"/>
    <x v="2"/>
    <n v="260.69"/>
    <n v="156.41399999999999"/>
    <n v="1.99"/>
    <n v="700"/>
    <x v="0"/>
    <n v="49248"/>
  </r>
  <r>
    <x v="4"/>
    <x v="606"/>
    <s v="Jon Ronson"/>
    <x v="1"/>
    <x v="1"/>
    <n v="3.91"/>
    <n v="44097"/>
    <x v="0"/>
    <n v="492.7"/>
    <n v="295.62"/>
    <n v="3.79"/>
    <n v="701"/>
    <x v="6"/>
    <n v="49032"/>
  </r>
  <r>
    <x v="29"/>
    <x v="607"/>
    <s v="Jodi Picoult"/>
    <x v="0"/>
    <x v="1"/>
    <n v="3.68"/>
    <n v="79662"/>
    <x v="0"/>
    <n v="258.7"/>
    <n v="155.22"/>
    <n v="1.99"/>
    <n v="703"/>
    <x v="4"/>
    <n v="48816"/>
  </r>
  <r>
    <x v="30"/>
    <x v="608"/>
    <s v="David Baldacci"/>
    <x v="1"/>
    <x v="3"/>
    <n v="4.1500000000000004"/>
    <n v="72481"/>
    <x v="0"/>
    <n v="1656.2"/>
    <n v="993.72"/>
    <n v="12.74"/>
    <n v="704"/>
    <x v="6"/>
    <n v="48816"/>
  </r>
  <r>
    <x v="18"/>
    <x v="609"/>
    <s v="Janet Evanovich"/>
    <x v="1"/>
    <x v="3"/>
    <n v="4.18"/>
    <n v="99329"/>
    <x v="0"/>
    <n v="514.71"/>
    <n v="0"/>
    <n v="3.99"/>
    <n v="705"/>
    <x v="1"/>
    <n v="48600"/>
  </r>
  <r>
    <x v="6"/>
    <x v="610"/>
    <s v="Mitch Albom"/>
    <x v="1"/>
    <x v="1"/>
    <n v="3.85"/>
    <n v="72277"/>
    <x v="0"/>
    <n v="127.71"/>
    <n v="0"/>
    <n v="0.99"/>
    <n v="707"/>
    <x v="1"/>
    <n v="48384"/>
  </r>
  <r>
    <x v="15"/>
    <x v="611"/>
    <s v="Christopher Moore"/>
    <x v="0"/>
    <x v="3"/>
    <n v="4.08"/>
    <n v="78523"/>
    <x v="2"/>
    <n v="127.71"/>
    <n v="76.626000000000005"/>
    <n v="0.99"/>
    <n v="707"/>
    <x v="1"/>
    <n v="48168"/>
  </r>
  <r>
    <x v="26"/>
    <x v="612"/>
    <s v="Michael   Lewis"/>
    <x v="0"/>
    <x v="3"/>
    <n v="4.24"/>
    <n v="66406"/>
    <x v="0"/>
    <n v="127.71"/>
    <n v="0"/>
    <n v="0.99"/>
    <n v="708"/>
    <x v="1"/>
    <n v="47952"/>
  </r>
  <r>
    <x v="26"/>
    <x v="613"/>
    <s v="Jonathan Stroud"/>
    <x v="0"/>
    <x v="1"/>
    <n v="3.99"/>
    <n v="86062"/>
    <x v="0"/>
    <n v="127.71"/>
    <n v="0"/>
    <n v="0.99"/>
    <n v="709"/>
    <x v="1"/>
    <n v="47736"/>
  </r>
  <r>
    <x v="27"/>
    <x v="614"/>
    <s v="Stephen Colbert, Richard Dahm, Paul Dinello, Allison Silverman, Michael Brumm, Eric Drydale, Rob Dubbin, Glenn Eichler, Peter Grosz, Peter Gwinn, Jay Katsir, Laura Krafft, Frank Lesser, Tom Purcell"/>
    <x v="0"/>
    <x v="1"/>
    <n v="3.91"/>
    <n v="71023"/>
    <x v="0"/>
    <n v="885.76"/>
    <n v="531.45600000000002"/>
    <n v="6.92"/>
    <n v="710"/>
    <x v="3"/>
    <n v="47520"/>
  </r>
  <r>
    <x v="22"/>
    <x v="615"/>
    <s v="Kenneth H. Blanchard, Spencer Johnson"/>
    <x v="0"/>
    <x v="1"/>
    <n v="3.85"/>
    <n v="70241"/>
    <x v="3"/>
    <n v="888.32"/>
    <n v="532.99199999999996"/>
    <n v="6.94"/>
    <n v="710"/>
    <x v="1"/>
    <n v="47520"/>
  </r>
  <r>
    <x v="63"/>
    <x v="616"/>
    <s v="Leon Uris"/>
    <x v="1"/>
    <x v="3"/>
    <n v="4.33"/>
    <n v="77258"/>
    <x v="0"/>
    <n v="1470.72"/>
    <n v="882.43200000000002"/>
    <n v="11.49"/>
    <n v="711"/>
    <x v="4"/>
    <n v="47304"/>
  </r>
  <r>
    <x v="5"/>
    <x v="617"/>
    <s v="Ursula Hegi"/>
    <x v="3"/>
    <x v="3"/>
    <n v="4.07"/>
    <n v="80056"/>
    <x v="0"/>
    <n v="787.2"/>
    <n v="472.32"/>
    <n v="6.15"/>
    <n v="712"/>
    <x v="1"/>
    <n v="47304"/>
  </r>
  <r>
    <x v="67"/>
    <x v="618"/>
    <s v="Raymond Chandler"/>
    <x v="1"/>
    <x v="3"/>
    <n v="4.04"/>
    <n v="84489"/>
    <x v="0"/>
    <n v="126.72"/>
    <n v="76.031999999999996"/>
    <n v="0.99"/>
    <n v="713"/>
    <x v="1"/>
    <n v="47088"/>
  </r>
  <r>
    <x v="99"/>
    <x v="619"/>
    <s v="John Steinbeck"/>
    <x v="1"/>
    <x v="3"/>
    <n v="4.0199999999999996"/>
    <n v="81598"/>
    <x v="0"/>
    <n v="1153.28"/>
    <n v="691.96799999999996"/>
    <n v="9.01"/>
    <n v="713"/>
    <x v="0"/>
    <n v="47088"/>
  </r>
  <r>
    <x v="4"/>
    <x v="620"/>
    <s v="Ellen DeGeneres"/>
    <x v="0"/>
    <x v="1"/>
    <n v="3.72"/>
    <n v="74358"/>
    <x v="0"/>
    <n v="843.28"/>
    <n v="505.96800000000002"/>
    <n v="6.64"/>
    <n v="714"/>
    <x v="2"/>
    <n v="46872"/>
  </r>
  <r>
    <x v="18"/>
    <x v="621"/>
    <s v="Lemony Snicket, Brett Helquist"/>
    <x v="0"/>
    <x v="1"/>
    <n v="3.83"/>
    <n v="101325"/>
    <x v="0"/>
    <n v="1395.73"/>
    <n v="837.43799999999999"/>
    <n v="10.99"/>
    <n v="716"/>
    <x v="3"/>
    <n v="46872"/>
  </r>
  <r>
    <x v="6"/>
    <x v="622"/>
    <s v="Eowyn Ivey"/>
    <x v="1"/>
    <x v="1"/>
    <n v="3.95"/>
    <n v="72328"/>
    <x v="0"/>
    <n v="125.73"/>
    <n v="75.438000000000002"/>
    <n v="0.99"/>
    <n v="716"/>
    <x v="1"/>
    <n v="46872"/>
  </r>
  <r>
    <x v="17"/>
    <x v="623"/>
    <s v="J. Lynn, Jennifer L. Armentrout"/>
    <x v="1"/>
    <x v="3"/>
    <n v="4.1900000000000004"/>
    <n v="106236"/>
    <x v="0"/>
    <n v="506.73"/>
    <n v="0"/>
    <n v="3.99"/>
    <n v="717"/>
    <x v="1"/>
    <n v="46440"/>
  </r>
  <r>
    <x v="38"/>
    <x v="624"/>
    <s v="Jeff Kinney"/>
    <x v="1"/>
    <x v="3"/>
    <n v="4.1100000000000003"/>
    <n v="82518"/>
    <x v="0"/>
    <n v="502.74"/>
    <n v="0"/>
    <n v="3.99"/>
    <n v="719"/>
    <x v="1"/>
    <n v="46440"/>
  </r>
  <r>
    <x v="127"/>
    <x v="625"/>
    <s v="Dante Alighieri, Allen Mandelbaum, Eugenio Montale"/>
    <x v="1"/>
    <x v="3"/>
    <n v="4.0599999999999996"/>
    <n v="74130"/>
    <x v="0"/>
    <n v="124.74"/>
    <n v="0"/>
    <n v="0.99"/>
    <n v="720"/>
    <x v="1"/>
    <n v="46008"/>
  </r>
  <r>
    <x v="53"/>
    <x v="626"/>
    <s v="Benjamin Hoff, Ernest H. Shepard"/>
    <x v="1"/>
    <x v="3"/>
    <n v="4.01"/>
    <n v="69975"/>
    <x v="0"/>
    <n v="1198.75"/>
    <n v="719.25"/>
    <n v="9.59"/>
    <n v="724"/>
    <x v="0"/>
    <n v="46008"/>
  </r>
  <r>
    <x v="6"/>
    <x v="627"/>
    <s v="Jennifer L. Armentrout"/>
    <x v="1"/>
    <x v="3"/>
    <n v="4.33"/>
    <n v="111448"/>
    <x v="0"/>
    <n v="1127.5"/>
    <n v="676.5"/>
    <n v="9.02"/>
    <n v="725"/>
    <x v="4"/>
    <n v="46008"/>
  </r>
  <r>
    <x v="17"/>
    <x v="628"/>
    <s v="Tahereh Mafi"/>
    <x v="1"/>
    <x v="3"/>
    <n v="4.28"/>
    <n v="109183"/>
    <x v="0"/>
    <n v="122.76"/>
    <n v="73.656000000000006"/>
    <n v="0.99"/>
    <n v="728"/>
    <x v="1"/>
    <n v="45792"/>
  </r>
  <r>
    <x v="26"/>
    <x v="629"/>
    <s v="Sarah Dunant"/>
    <x v="0"/>
    <x v="1"/>
    <n v="3.79"/>
    <n v="78129"/>
    <x v="0"/>
    <n v="370.76"/>
    <n v="0"/>
    <n v="2.99"/>
    <n v="730"/>
    <x v="1"/>
    <n v="45576"/>
  </r>
  <r>
    <x v="29"/>
    <x v="630"/>
    <s v="Eoin Colfer"/>
    <x v="1"/>
    <x v="3"/>
    <n v="4.04"/>
    <n v="95638"/>
    <x v="0"/>
    <n v="121.77"/>
    <n v="73.061999999999998"/>
    <n v="0.99"/>
    <n v="733"/>
    <x v="1"/>
    <n v="45360"/>
  </r>
  <r>
    <x v="2"/>
    <x v="631"/>
    <s v="David Lagercrantz, Stieg Larsson, George Goulding"/>
    <x v="1"/>
    <x v="1"/>
    <n v="3.73"/>
    <n v="53751"/>
    <x v="0"/>
    <n v="121.77"/>
    <n v="73.061999999999998"/>
    <n v="0.99"/>
    <n v="736"/>
    <x v="4"/>
    <n v="45144"/>
  </r>
  <r>
    <x v="95"/>
    <x v="632"/>
    <s v="Emma Cline"/>
    <x v="1"/>
    <x v="0"/>
    <n v="3.49"/>
    <n v="76761"/>
    <x v="0"/>
    <n v="974.78"/>
    <n v="584.86800000000005"/>
    <n v="7.99"/>
    <n v="737"/>
    <x v="4"/>
    <n v="44928"/>
  </r>
  <r>
    <x v="26"/>
    <x v="633"/>
    <s v="Shannon Hale"/>
    <x v="0"/>
    <x v="3"/>
    <n v="4.18"/>
    <n v="92952"/>
    <x v="0"/>
    <n v="120.78"/>
    <n v="72.468000000000004"/>
    <n v="0.99"/>
    <n v="738"/>
    <x v="5"/>
    <n v="44280"/>
  </r>
  <r>
    <x v="61"/>
    <x v="634"/>
    <s v="Dennis Lehane"/>
    <x v="0"/>
    <x v="3"/>
    <n v="4.1900000000000004"/>
    <n v="86103"/>
    <x v="0"/>
    <n v="1096.78"/>
    <n v="658.06799999999998"/>
    <n v="8.99"/>
    <n v="739"/>
    <x v="4"/>
    <n v="43848"/>
  </r>
  <r>
    <x v="10"/>
    <x v="635"/>
    <s v="Isaac Marion"/>
    <x v="1"/>
    <x v="1"/>
    <n v="3.93"/>
    <n v="66381"/>
    <x v="0"/>
    <n v="486.78"/>
    <n v="292.06799999999998"/>
    <n v="3.99"/>
    <n v="740"/>
    <x v="1"/>
    <n v="43848"/>
  </r>
  <r>
    <x v="128"/>
    <x v="636"/>
    <s v="Mark Twain, Everett H. Emerson"/>
    <x v="1"/>
    <x v="1"/>
    <n v="3.84"/>
    <n v="84682"/>
    <x v="0"/>
    <n v="966.79"/>
    <n v="580.07399999999996"/>
    <n v="7.99"/>
    <n v="741"/>
    <x v="4"/>
    <n v="43416"/>
  </r>
  <r>
    <x v="129"/>
    <x v="637"/>
    <s v="Robert A. Heinlein"/>
    <x v="1"/>
    <x v="3"/>
    <n v="4.17"/>
    <n v="80366"/>
    <x v="0"/>
    <n v="930.49"/>
    <n v="558.29399999999998"/>
    <n v="7.69"/>
    <n v="743"/>
    <x v="3"/>
    <n v="43416"/>
  </r>
  <r>
    <x v="10"/>
    <x v="638"/>
    <s v="Elif Shafak, Ø¥Ù„ÙŠÙ Ø´Ø§ÙØ§Ù‚, Ø§Ø±Ø³Ù„Ø§Ù† ÙØµÛŒØ­ÛŒ, Ù…Ø­Ù…Ø¯ Ø¯Ø±ÙˆÙŠØ´"/>
    <x v="1"/>
    <x v="3"/>
    <n v="4.17"/>
    <n v="35283"/>
    <x v="0"/>
    <n v="119.79"/>
    <n v="71.873999999999995"/>
    <n v="0.99"/>
    <n v="743"/>
    <x v="1"/>
    <n v="43416"/>
  </r>
  <r>
    <x v="32"/>
    <x v="639"/>
    <s v="Janet Evanovich"/>
    <x v="1"/>
    <x v="3"/>
    <n v="4.17"/>
    <n v="92737"/>
    <x v="3"/>
    <n v="671.55"/>
    <n v="402.93"/>
    <n v="5.55"/>
    <n v="745"/>
    <x v="1"/>
    <n v="43200"/>
  </r>
  <r>
    <x v="17"/>
    <x v="640"/>
    <s v="Stephen King"/>
    <x v="1"/>
    <x v="1"/>
    <n v="3.9"/>
    <n v="75018"/>
    <x v="0"/>
    <n v="118.8"/>
    <n v="0"/>
    <n v="0.99"/>
    <n v="746"/>
    <x v="1"/>
    <n v="42768"/>
  </r>
  <r>
    <x v="10"/>
    <x v="641"/>
    <s v="Hajime Isayama, Sheldon Drzka"/>
    <x v="1"/>
    <x v="2"/>
    <n v="4.42"/>
    <n v="82565"/>
    <x v="0"/>
    <n v="118.8"/>
    <n v="71.28"/>
    <n v="0.99"/>
    <n v="748"/>
    <x v="1"/>
    <n v="42552"/>
  </r>
  <r>
    <x v="130"/>
    <x v="642"/>
    <s v="F. Scott Fitzgerald"/>
    <x v="0"/>
    <x v="1"/>
    <n v="3.83"/>
    <n v="79008"/>
    <x v="0"/>
    <n v="118.8"/>
    <n v="71.28"/>
    <n v="0.99"/>
    <n v="750"/>
    <x v="1"/>
    <n v="42120"/>
  </r>
  <r>
    <x v="71"/>
    <x v="643"/>
    <s v="Olive Ann Burns"/>
    <x v="1"/>
    <x v="1"/>
    <n v="3.99"/>
    <n v="82281"/>
    <x v="0"/>
    <n v="950.81"/>
    <n v="570.48599999999999"/>
    <n v="7.99"/>
    <n v="751"/>
    <x v="4"/>
    <n v="42120"/>
  </r>
  <r>
    <x v="99"/>
    <x v="644"/>
    <s v="Tennessee Williams"/>
    <x v="1"/>
    <x v="1"/>
    <n v="3.67"/>
    <n v="90032"/>
    <x v="2"/>
    <n v="117.81"/>
    <n v="70.686000000000007"/>
    <n v="0.99"/>
    <n v="752"/>
    <x v="1"/>
    <n v="41904"/>
  </r>
  <r>
    <x v="4"/>
    <x v="645"/>
    <s v="Elena Ferrante, Ann Goldstein"/>
    <x v="1"/>
    <x v="1"/>
    <n v="3.88"/>
    <n v="64637"/>
    <x v="2"/>
    <n v="912.73"/>
    <n v="547.63800000000003"/>
    <n v="7.67"/>
    <n v="753"/>
    <x v="4"/>
    <n v="41472"/>
  </r>
  <r>
    <x v="27"/>
    <x v="646"/>
    <s v="Timothy Ferriss"/>
    <x v="1"/>
    <x v="1"/>
    <n v="3.84"/>
    <n v="66129"/>
    <x v="0"/>
    <n v="355.81"/>
    <n v="0"/>
    <n v="2.99"/>
    <n v="757"/>
    <x v="1"/>
    <n v="41256"/>
  </r>
  <r>
    <x v="21"/>
    <x v="647"/>
    <s v="Robin S. Sharma"/>
    <x v="1"/>
    <x v="1"/>
    <n v="3.77"/>
    <n v="52031"/>
    <x v="0"/>
    <n v="117.81"/>
    <n v="0"/>
    <n v="0.99"/>
    <n v="759"/>
    <x v="1"/>
    <n v="40824"/>
  </r>
  <r>
    <x v="4"/>
    <x v="648"/>
    <s v="Amor Towles"/>
    <x v="1"/>
    <x v="1"/>
    <n v="3.99"/>
    <n v="75541"/>
    <x v="0"/>
    <n v="712.81"/>
    <n v="427.68599999999998"/>
    <n v="5.99"/>
    <n v="760"/>
    <x v="3"/>
    <n v="40824"/>
  </r>
  <r>
    <x v="48"/>
    <x v="649"/>
    <s v="Larry Niven"/>
    <x v="1"/>
    <x v="1"/>
    <n v="3.96"/>
    <n v="76925"/>
    <x v="0"/>
    <n v="117.81"/>
    <n v="70.686000000000007"/>
    <n v="0.99"/>
    <n v="760"/>
    <x v="1"/>
    <n v="40176"/>
  </r>
  <r>
    <x v="4"/>
    <x v="650"/>
    <s v="Ruta Sepetys"/>
    <x v="1"/>
    <x v="3"/>
    <n v="4.3600000000000003"/>
    <n v="87718"/>
    <x v="0"/>
    <n v="236.81"/>
    <n v="142.08600000000001"/>
    <n v="1.99"/>
    <n v="761"/>
    <x v="1"/>
    <n v="40176"/>
  </r>
  <r>
    <x v="21"/>
    <x v="651"/>
    <s v="Andrew Clements, Brian Selznick"/>
    <x v="0"/>
    <x v="1"/>
    <n v="3.79"/>
    <n v="83351"/>
    <x v="0"/>
    <n v="712.81"/>
    <n v="427.68599999999998"/>
    <n v="5.99"/>
    <n v="762"/>
    <x v="6"/>
    <n v="39960"/>
  </r>
  <r>
    <x v="38"/>
    <x v="652"/>
    <s v="Jeff Kinney"/>
    <x v="0"/>
    <x v="3"/>
    <n v="4.1399999999999997"/>
    <n v="78592"/>
    <x v="0"/>
    <n v="474.81"/>
    <n v="0"/>
    <n v="3.99"/>
    <n v="764"/>
    <x v="1"/>
    <n v="39744"/>
  </r>
  <r>
    <x v="6"/>
    <x v="653"/>
    <s v="Louise Erdrich"/>
    <x v="1"/>
    <x v="1"/>
    <n v="3.91"/>
    <n v="67928"/>
    <x v="0"/>
    <n v="355.81"/>
    <n v="0"/>
    <n v="2.99"/>
    <n v="764"/>
    <x v="1"/>
    <n v="39312"/>
  </r>
  <r>
    <x v="104"/>
    <x v="654"/>
    <s v="Madeleine L'Engle"/>
    <x v="1"/>
    <x v="3"/>
    <n v="4.07"/>
    <n v="87277"/>
    <x v="0"/>
    <n v="355.81"/>
    <n v="0"/>
    <n v="2.99"/>
    <n v="765"/>
    <x v="1"/>
    <n v="39312"/>
  </r>
  <r>
    <x v="6"/>
    <x v="655"/>
    <s v="Veronica Roth"/>
    <x v="1"/>
    <x v="3"/>
    <n v="4.18"/>
    <n v="81621"/>
    <x v="2"/>
    <n v="1188.81"/>
    <n v="713.28599999999994"/>
    <n v="9.99"/>
    <n v="765"/>
    <x v="2"/>
    <n v="38880"/>
  </r>
  <r>
    <x v="2"/>
    <x v="656"/>
    <s v="Hanya Yanagihara"/>
    <x v="1"/>
    <x v="3"/>
    <n v="4.2699999999999996"/>
    <n v="66782"/>
    <x v="0"/>
    <n v="355.81"/>
    <n v="213.48599999999999"/>
    <n v="2.99"/>
    <n v="766"/>
    <x v="1"/>
    <n v="38664"/>
  </r>
  <r>
    <x v="26"/>
    <x v="657"/>
    <s v="Brian K. Vaughan, Pia Guerra, JosÃ© MarzÃ¡n Jr."/>
    <x v="1"/>
    <x v="3"/>
    <n v="4.12"/>
    <n v="81326"/>
    <x v="0"/>
    <n v="117.81"/>
    <n v="0"/>
    <n v="0.99"/>
    <n v="767"/>
    <x v="1"/>
    <n v="38664"/>
  </r>
  <r>
    <x v="4"/>
    <x v="658"/>
    <s v="Brandon Sanderson"/>
    <x v="1"/>
    <x v="3"/>
    <n v="4.2"/>
    <n v="72185"/>
    <x v="0"/>
    <n v="593.80999999999995"/>
    <n v="0"/>
    <n v="4.99"/>
    <n v="768"/>
    <x v="1"/>
    <n v="38448"/>
  </r>
  <r>
    <x v="4"/>
    <x v="659"/>
    <s v="Charlaine Harris"/>
    <x v="1"/>
    <x v="1"/>
    <n v="3.77"/>
    <n v="87066"/>
    <x v="2"/>
    <n v="117.81"/>
    <n v="70.686000000000007"/>
    <n v="0.99"/>
    <n v="770"/>
    <x v="1"/>
    <n v="38448"/>
  </r>
  <r>
    <x v="54"/>
    <x v="660"/>
    <s v="Anne Tyler, Jennifer Bassett"/>
    <x v="1"/>
    <x v="1"/>
    <n v="3.9"/>
    <n v="80075"/>
    <x v="0"/>
    <n v="784.21"/>
    <n v="470.52600000000001"/>
    <n v="6.59"/>
    <n v="770"/>
    <x v="1"/>
    <n v="38448"/>
  </r>
  <r>
    <x v="6"/>
    <x v="661"/>
    <s v="Benjamin Alire SÃ¡enz"/>
    <x v="1"/>
    <x v="3"/>
    <n v="4.34"/>
    <n v="108884"/>
    <x v="1"/>
    <n v="1082.9000000000001"/>
    <n v="649.74"/>
    <n v="9.1"/>
    <n v="770"/>
    <x v="1"/>
    <n v="38232"/>
  </r>
  <r>
    <x v="14"/>
    <x v="662"/>
    <s v="H.G. Wells"/>
    <x v="1"/>
    <x v="1"/>
    <n v="3.62"/>
    <n v="84778"/>
    <x v="0"/>
    <n v="117.81"/>
    <n v="70.686000000000007"/>
    <n v="0.99"/>
    <n v="772"/>
    <x v="6"/>
    <n v="38016"/>
  </r>
  <r>
    <x v="54"/>
    <x v="663"/>
    <s v="Haruki Murakami, Alfred Birnbaum"/>
    <x v="1"/>
    <x v="3"/>
    <n v="4.1500000000000004"/>
    <n v="63764"/>
    <x v="0"/>
    <n v="117.81"/>
    <n v="70.686000000000007"/>
    <n v="0.99"/>
    <n v="773"/>
    <x v="1"/>
    <n v="38016"/>
  </r>
  <r>
    <x v="5"/>
    <x v="664"/>
    <s v="Paulo Coelho, Alan R. Clarke"/>
    <x v="1"/>
    <x v="1"/>
    <n v="3.57"/>
    <n v="62106"/>
    <x v="0"/>
    <n v="915.11"/>
    <n v="549.06600000000003"/>
    <n v="7.69"/>
    <n v="775"/>
    <x v="4"/>
    <n v="37584"/>
  </r>
  <r>
    <x v="89"/>
    <x v="665"/>
    <s v="Johann David Wyss, Scott McKowen, Arthur Pober"/>
    <x v="1"/>
    <x v="1"/>
    <n v="3.92"/>
    <n v="78355"/>
    <x v="0"/>
    <n v="355.81"/>
    <n v="0"/>
    <n v="2.99"/>
    <n v="779"/>
    <x v="1"/>
    <n v="37584"/>
  </r>
  <r>
    <x v="96"/>
    <x v="666"/>
    <s v="Stephen King"/>
    <x v="3"/>
    <x v="1"/>
    <n v="3.9"/>
    <n v="76376"/>
    <x v="2"/>
    <n v="640.22"/>
    <n v="384.13200000000001"/>
    <n v="5.38"/>
    <n v="779"/>
    <x v="0"/>
    <n v="37368"/>
  </r>
  <r>
    <x v="6"/>
    <x v="667"/>
    <s v="Jennifer Probst"/>
    <x v="1"/>
    <x v="1"/>
    <n v="3.81"/>
    <n v="91630"/>
    <x v="0"/>
    <n v="1307.81"/>
    <n v="784.68600000000004"/>
    <n v="10.99"/>
    <n v="781"/>
    <x v="4"/>
    <n v="37368"/>
  </r>
  <r>
    <x v="60"/>
    <x v="668"/>
    <s v="L.M. Montgomery"/>
    <x v="0"/>
    <x v="3"/>
    <n v="4.21"/>
    <n v="99918"/>
    <x v="0"/>
    <n v="117.81"/>
    <n v="70.686000000000007"/>
    <n v="0.99"/>
    <n v="782"/>
    <x v="1"/>
    <n v="37368"/>
  </r>
  <r>
    <x v="102"/>
    <x v="669"/>
    <s v="Watty Piper, Doris Hauman, George Hauman"/>
    <x v="0"/>
    <x v="3"/>
    <n v="4.1500000000000004"/>
    <n v="82102"/>
    <x v="0"/>
    <n v="593.80999999999995"/>
    <n v="0"/>
    <n v="4.99"/>
    <n v="783"/>
    <x v="1"/>
    <n v="37152"/>
  </r>
  <r>
    <x v="17"/>
    <x v="670"/>
    <s v="Karen Joy Fowler"/>
    <x v="1"/>
    <x v="1"/>
    <n v="3.71"/>
    <n v="59973"/>
    <x v="0"/>
    <n v="355.81"/>
    <n v="0"/>
    <n v="2.99"/>
    <n v="783"/>
    <x v="1"/>
    <n v="37152"/>
  </r>
  <r>
    <x v="21"/>
    <x v="671"/>
    <s v="Orson Scott Card"/>
    <x v="1"/>
    <x v="1"/>
    <n v="3.74"/>
    <n v="74517"/>
    <x v="0"/>
    <n v="1022.21"/>
    <n v="613.32600000000002"/>
    <n v="8.59"/>
    <n v="784"/>
    <x v="1"/>
    <n v="36936"/>
  </r>
  <r>
    <x v="12"/>
    <x v="672"/>
    <s v="James Joyce"/>
    <x v="1"/>
    <x v="1"/>
    <n v="3.74"/>
    <n v="76791"/>
    <x v="0"/>
    <n v="117.81"/>
    <n v="0"/>
    <n v="0.99"/>
    <n v="786"/>
    <x v="1"/>
    <n v="36936"/>
  </r>
  <r>
    <x v="31"/>
    <x v="673"/>
    <s v="Sarah Dessen"/>
    <x v="1"/>
    <x v="1"/>
    <n v="3.94"/>
    <n v="84358"/>
    <x v="2"/>
    <n v="355.81"/>
    <n v="213.48599999999999"/>
    <n v="2.99"/>
    <n v="786"/>
    <x v="5"/>
    <n v="36936"/>
  </r>
  <r>
    <x v="26"/>
    <x v="674"/>
    <s v="Alan Brennert"/>
    <x v="0"/>
    <x v="3"/>
    <n v="4.1500000000000004"/>
    <n v="75307"/>
    <x v="2"/>
    <n v="950.81"/>
    <n v="570.48599999999999"/>
    <n v="7.99"/>
    <n v="787"/>
    <x v="8"/>
    <n v="36720"/>
  </r>
  <r>
    <x v="96"/>
    <x v="675"/>
    <s v="Anne Rice"/>
    <x v="1"/>
    <x v="3"/>
    <n v="4.0999999999999996"/>
    <n v="79824"/>
    <x v="2"/>
    <n v="357.54"/>
    <n v="214.524"/>
    <n v="3.03"/>
    <n v="789"/>
    <x v="1"/>
    <n v="36504"/>
  </r>
  <r>
    <x v="28"/>
    <x v="676"/>
    <s v="Frank E. Peretti"/>
    <x v="1"/>
    <x v="3"/>
    <n v="4.24"/>
    <n v="71815"/>
    <x v="0"/>
    <n v="352.82"/>
    <n v="0"/>
    <n v="2.99"/>
    <n v="791"/>
    <x v="1"/>
    <n v="36504"/>
  </r>
  <r>
    <x v="6"/>
    <x v="677"/>
    <s v="Jessica Sorensen"/>
    <x v="1"/>
    <x v="3"/>
    <n v="4.21"/>
    <n v="97615"/>
    <x v="0"/>
    <n v="116.82"/>
    <n v="70.091999999999999"/>
    <n v="0.99"/>
    <n v="792"/>
    <x v="1"/>
    <n v="36504"/>
  </r>
  <r>
    <x v="2"/>
    <x v="678"/>
    <s v="Lauren Groff"/>
    <x v="1"/>
    <x v="1"/>
    <n v="3.56"/>
    <n v="66085"/>
    <x v="0"/>
    <n v="862.58"/>
    <n v="517.548"/>
    <n v="7.31"/>
    <n v="792"/>
    <x v="0"/>
    <n v="36504"/>
  </r>
  <r>
    <x v="31"/>
    <x v="679"/>
    <s v="Judy Blume"/>
    <x v="0"/>
    <x v="1"/>
    <n v="3.83"/>
    <n v="73515"/>
    <x v="0"/>
    <n v="862.58"/>
    <n v="517.548"/>
    <n v="7.31"/>
    <n v="794"/>
    <x v="3"/>
    <n v="36504"/>
  </r>
  <r>
    <x v="99"/>
    <x v="680"/>
    <s v="E.B. White, Garth Williams"/>
    <x v="0"/>
    <x v="1"/>
    <n v="3.88"/>
    <n v="89033"/>
    <x v="0"/>
    <n v="352.82"/>
    <n v="211.69200000000001"/>
    <n v="2.99"/>
    <n v="797"/>
    <x v="1"/>
    <n v="36504"/>
  </r>
  <r>
    <x v="47"/>
    <x v="681"/>
    <s v="Isaac Asimov"/>
    <x v="1"/>
    <x v="3"/>
    <n v="4.3899999999999997"/>
    <n v="72311"/>
    <x v="1"/>
    <n v="1060.82"/>
    <n v="636.49199999999996"/>
    <n v="8.99"/>
    <n v="797"/>
    <x v="0"/>
    <n v="36504"/>
  </r>
  <r>
    <x v="32"/>
    <x v="682"/>
    <s v="Brian Greene"/>
    <x v="0"/>
    <x v="3"/>
    <n v="4.0599999999999996"/>
    <n v="32626"/>
    <x v="0"/>
    <n v="352.82"/>
    <n v="0"/>
    <n v="2.99"/>
    <n v="798"/>
    <x v="1"/>
    <n v="36288"/>
  </r>
  <r>
    <x v="18"/>
    <x v="683"/>
    <s v="Lemony Snicket, Brett Helquist"/>
    <x v="1"/>
    <x v="1"/>
    <n v="3.97"/>
    <n v="99311"/>
    <x v="0"/>
    <n v="116.82"/>
    <n v="0"/>
    <n v="0.99"/>
    <n v="799"/>
    <x v="1"/>
    <n v="36288"/>
  </r>
  <r>
    <x v="61"/>
    <x v="684"/>
    <s v="Janet Evanovich"/>
    <x v="0"/>
    <x v="3"/>
    <n v="4.1500000000000004"/>
    <n v="94506"/>
    <x v="0"/>
    <n v="1320.42"/>
    <n v="792.25199999999995"/>
    <n v="11.19"/>
    <n v="800"/>
    <x v="0"/>
    <n v="36072"/>
  </r>
  <r>
    <x v="38"/>
    <x v="245"/>
    <s v="Kelley Armstrong"/>
    <x v="1"/>
    <x v="3"/>
    <n v="4.16"/>
    <n v="95026"/>
    <x v="0"/>
    <n v="761.1"/>
    <n v="456.66"/>
    <n v="6.45"/>
    <n v="802"/>
    <x v="5"/>
    <n v="36072"/>
  </r>
  <r>
    <x v="26"/>
    <x v="685"/>
    <s v="Jim Butcher"/>
    <x v="1"/>
    <x v="3"/>
    <n v="4.32"/>
    <n v="83664"/>
    <x v="3"/>
    <n v="654.9"/>
    <n v="392.94"/>
    <n v="5.55"/>
    <n v="802"/>
    <x v="1"/>
    <n v="36072"/>
  </r>
  <r>
    <x v="20"/>
    <x v="686"/>
    <s v="Janell Cannon"/>
    <x v="0"/>
    <x v="3"/>
    <n v="4.22"/>
    <n v="87423"/>
    <x v="0"/>
    <n v="116.82"/>
    <n v="70.091999999999999"/>
    <n v="0.99"/>
    <n v="803"/>
    <x v="1"/>
    <n v="36072"/>
  </r>
  <r>
    <x v="27"/>
    <x v="687"/>
    <s v="Joe Abercrombie"/>
    <x v="1"/>
    <x v="3"/>
    <n v="4.2699999999999996"/>
    <n v="68865"/>
    <x v="0"/>
    <n v="116.82"/>
    <n v="70.091999999999999"/>
    <n v="0.99"/>
    <n v="804"/>
    <x v="4"/>
    <n v="35856"/>
  </r>
  <r>
    <x v="27"/>
    <x v="688"/>
    <s v="Nancy Horan"/>
    <x v="0"/>
    <x v="1"/>
    <n v="3.73"/>
    <n v="72734"/>
    <x v="0"/>
    <n v="824.82"/>
    <n v="494.892"/>
    <n v="6.99"/>
    <n v="804"/>
    <x v="2"/>
    <n v="35640"/>
  </r>
  <r>
    <x v="39"/>
    <x v="689"/>
    <s v="Janet Evanovich, Lorelei King"/>
    <x v="0"/>
    <x v="3"/>
    <n v="4.17"/>
    <n v="93057"/>
    <x v="2"/>
    <n v="1060.82"/>
    <n v="636.49199999999996"/>
    <n v="8.99"/>
    <n v="805"/>
    <x v="4"/>
    <n v="35640"/>
  </r>
  <r>
    <x v="61"/>
    <x v="690"/>
    <s v="Lemony Snicket, Brett Helquist"/>
    <x v="1"/>
    <x v="1"/>
    <n v="3.94"/>
    <n v="89733"/>
    <x v="0"/>
    <n v="706.82"/>
    <n v="424.09199999999998"/>
    <n v="5.99"/>
    <n v="808"/>
    <x v="3"/>
    <n v="35640"/>
  </r>
  <r>
    <x v="104"/>
    <x v="691"/>
    <s v="Flora Rheta Schreiber"/>
    <x v="0"/>
    <x v="1"/>
    <n v="3.99"/>
    <n v="72493"/>
    <x v="2"/>
    <n v="502.68"/>
    <n v="301.608"/>
    <n v="4.26"/>
    <n v="809"/>
    <x v="7"/>
    <n v="35640"/>
  </r>
  <r>
    <x v="45"/>
    <x v="692"/>
    <s v="Carl Sagan"/>
    <x v="1"/>
    <x v="3"/>
    <n v="4.3499999999999996"/>
    <n v="76440"/>
    <x v="2"/>
    <n v="1131.6199999999999"/>
    <n v="678.97199999999998"/>
    <n v="9.59"/>
    <n v="810"/>
    <x v="3"/>
    <n v="35640"/>
  </r>
  <r>
    <x v="29"/>
    <x v="693"/>
    <s v="Chuck Palahniuk"/>
    <x v="1"/>
    <x v="1"/>
    <n v="3.59"/>
    <n v="68861"/>
    <x v="1"/>
    <n v="234.82"/>
    <n v="140.892"/>
    <n v="1.99"/>
    <n v="810"/>
    <x v="5"/>
    <n v="35424"/>
  </r>
  <r>
    <x v="1"/>
    <x v="694"/>
    <s v="Rosamunde Pilcher"/>
    <x v="1"/>
    <x v="3"/>
    <n v="4.13"/>
    <n v="73573"/>
    <x v="0"/>
    <n v="588.82000000000005"/>
    <n v="0"/>
    <n v="4.99"/>
    <n v="811"/>
    <x v="1"/>
    <n v="35424"/>
  </r>
  <r>
    <x v="15"/>
    <x v="695"/>
    <s v="Dave Eggers"/>
    <x v="1"/>
    <x v="3"/>
    <n v="4.16"/>
    <n v="59333"/>
    <x v="0"/>
    <n v="1680.32"/>
    <n v="1008.192"/>
    <n v="14.24"/>
    <n v="811"/>
    <x v="3"/>
    <n v="35424"/>
  </r>
  <r>
    <x v="22"/>
    <x v="696"/>
    <s v="Gabriel GarcÃ­a MÃ¡rquez, Gregory Rabassa"/>
    <x v="1"/>
    <x v="1"/>
    <n v="3.95"/>
    <n v="56200"/>
    <x v="0"/>
    <n v="1128.08"/>
    <n v="676.84799999999996"/>
    <n v="9.56"/>
    <n v="813"/>
    <x v="5"/>
    <n v="35208"/>
  </r>
  <r>
    <x v="23"/>
    <x v="697"/>
    <s v="Ronald Holt, Arthur Conan Doyle"/>
    <x v="1"/>
    <x v="3"/>
    <n v="4.22"/>
    <n v="65422"/>
    <x v="2"/>
    <n v="352.82"/>
    <n v="211.69200000000001"/>
    <n v="2.99"/>
    <n v="814"/>
    <x v="1"/>
    <n v="35208"/>
  </r>
  <r>
    <x v="4"/>
    <x v="698"/>
    <s v="Bill O'Reilly, Martin Dugard"/>
    <x v="1"/>
    <x v="3"/>
    <n v="4.0199999999999996"/>
    <n v="71868"/>
    <x v="3"/>
    <n v="872.02"/>
    <n v="523.21199999999999"/>
    <n v="7.39"/>
    <n v="816"/>
    <x v="1"/>
    <n v="35208"/>
  </r>
  <r>
    <x v="17"/>
    <x v="699"/>
    <s v="Jhumpa Lahiri"/>
    <x v="1"/>
    <x v="1"/>
    <n v="3.82"/>
    <n v="62231"/>
    <x v="0"/>
    <n v="470.82"/>
    <n v="282.49200000000002"/>
    <n v="3.99"/>
    <n v="818"/>
    <x v="1"/>
    <n v="35208"/>
  </r>
  <r>
    <x v="8"/>
    <x v="700"/>
    <s v="John Flanagan"/>
    <x v="1"/>
    <x v="3"/>
    <n v="4.2"/>
    <n v="83085"/>
    <x v="2"/>
    <n v="824.82"/>
    <n v="494.892"/>
    <n v="6.99"/>
    <n v="818"/>
    <x v="4"/>
    <n v="34992"/>
  </r>
  <r>
    <x v="38"/>
    <x v="701"/>
    <s v="Laurie Halse Anderson"/>
    <x v="1"/>
    <x v="1"/>
    <n v="3.98"/>
    <n v="87665"/>
    <x v="0"/>
    <n v="352.82"/>
    <n v="0"/>
    <n v="2.99"/>
    <n v="819"/>
    <x v="1"/>
    <n v="34992"/>
  </r>
  <r>
    <x v="18"/>
    <x v="702"/>
    <s v="John Grisham"/>
    <x v="1"/>
    <x v="1"/>
    <n v="3.71"/>
    <n v="69351"/>
    <x v="1"/>
    <n v="942.82"/>
    <n v="565.69200000000001"/>
    <n v="7.99"/>
    <n v="820"/>
    <x v="3"/>
    <n v="34992"/>
  </r>
  <r>
    <x v="37"/>
    <x v="703"/>
    <s v="Robin Hobb"/>
    <x v="1"/>
    <x v="3"/>
    <n v="4.18"/>
    <n v="67125"/>
    <x v="0"/>
    <n v="470.82"/>
    <n v="0"/>
    <n v="3.99"/>
    <n v="821"/>
    <x v="1"/>
    <n v="34776"/>
  </r>
  <r>
    <x v="41"/>
    <x v="704"/>
    <s v="Ira Levin"/>
    <x v="1"/>
    <x v="1"/>
    <n v="3.96"/>
    <n v="78766"/>
    <x v="0"/>
    <n v="588.82000000000005"/>
    <n v="0"/>
    <n v="4.99"/>
    <n v="823"/>
    <x v="1"/>
    <n v="34776"/>
  </r>
  <r>
    <x v="71"/>
    <x v="705"/>
    <s v="Stephen King, Peter Straub"/>
    <x v="0"/>
    <x v="3"/>
    <n v="4.12"/>
    <n v="79508"/>
    <x v="2"/>
    <n v="234.82"/>
    <n v="140.892"/>
    <n v="1.99"/>
    <n v="823"/>
    <x v="1"/>
    <n v="34776"/>
  </r>
  <r>
    <x v="31"/>
    <x v="706"/>
    <s v="Robert Jordan"/>
    <x v="1"/>
    <x v="1"/>
    <n v="3.9"/>
    <n v="74815"/>
    <x v="0"/>
    <n v="234.82"/>
    <n v="140.892"/>
    <n v="1.99"/>
    <n v="824"/>
    <x v="1"/>
    <n v="34560"/>
  </r>
  <r>
    <x v="63"/>
    <x v="707"/>
    <s v="Jack Kerouac"/>
    <x v="0"/>
    <x v="1"/>
    <n v="3.94"/>
    <n v="62454"/>
    <x v="3"/>
    <n v="725.7"/>
    <n v="435.42"/>
    <n v="6.15"/>
    <n v="825"/>
    <x v="1"/>
    <n v="34560"/>
  </r>
  <r>
    <x v="10"/>
    <x v="708"/>
    <s v="Kelley Armstrong"/>
    <x v="3"/>
    <x v="3"/>
    <n v="4.21"/>
    <n v="92922"/>
    <x v="0"/>
    <n v="466.83"/>
    <n v="0"/>
    <n v="3.99"/>
    <n v="826"/>
    <x v="1"/>
    <n v="34560"/>
  </r>
  <r>
    <x v="6"/>
    <x v="709"/>
    <s v="Katherine Boo"/>
    <x v="0"/>
    <x v="1"/>
    <n v="3.97"/>
    <n v="69596"/>
    <x v="1"/>
    <n v="934.83"/>
    <n v="560.89800000000002"/>
    <n v="7.99"/>
    <n v="827"/>
    <x v="4"/>
    <n v="34344"/>
  </r>
  <r>
    <x v="66"/>
    <x v="710"/>
    <s v="P.L. Travers, Mary Shepard"/>
    <x v="0"/>
    <x v="3"/>
    <n v="4.05"/>
    <n v="82706"/>
    <x v="0"/>
    <n v="349.83"/>
    <n v="209.898"/>
    <n v="2.99"/>
    <n v="830"/>
    <x v="1"/>
    <n v="34128"/>
  </r>
  <r>
    <x v="27"/>
    <x v="711"/>
    <s v="Scott Lynch"/>
    <x v="1"/>
    <x v="3"/>
    <n v="4.2300000000000004"/>
    <n v="68255"/>
    <x v="0"/>
    <n v="349.83"/>
    <n v="209.898"/>
    <n v="2.99"/>
    <n v="831"/>
    <x v="1"/>
    <n v="34128"/>
  </r>
  <r>
    <x v="71"/>
    <x v="712"/>
    <s v="Sandra Cisneros"/>
    <x v="1"/>
    <x v="1"/>
    <n v="3.57"/>
    <n v="81579"/>
    <x v="0"/>
    <n v="115.83"/>
    <n v="0"/>
    <n v="0.99"/>
    <n v="832"/>
    <x v="1"/>
    <n v="34128"/>
  </r>
  <r>
    <x v="3"/>
    <x v="713"/>
    <s v="David Benioff"/>
    <x v="3"/>
    <x v="3"/>
    <n v="4.28"/>
    <n v="68063"/>
    <x v="0"/>
    <n v="232.83"/>
    <n v="139.69800000000001"/>
    <n v="1.99"/>
    <n v="832"/>
    <x v="0"/>
    <n v="34128"/>
  </r>
  <r>
    <x v="27"/>
    <x v="714"/>
    <s v="Jeaniene Frost"/>
    <x v="1"/>
    <x v="3"/>
    <n v="4.18"/>
    <n v="106608"/>
    <x v="0"/>
    <n v="232.83"/>
    <n v="139.69800000000001"/>
    <n v="1.99"/>
    <n v="834"/>
    <x v="1"/>
    <n v="33912"/>
  </r>
  <r>
    <x v="45"/>
    <x v="715"/>
    <s v="Roald Dahl, Quentin Blake"/>
    <x v="1"/>
    <x v="1"/>
    <n v="3.94"/>
    <n v="82458"/>
    <x v="0"/>
    <n v="855.27"/>
    <n v="513.16200000000003"/>
    <n v="7.31"/>
    <n v="836"/>
    <x v="4"/>
    <n v="33696"/>
  </r>
  <r>
    <x v="26"/>
    <x v="716"/>
    <s v="Garth Nix"/>
    <x v="0"/>
    <x v="3"/>
    <n v="4.29"/>
    <n v="80740"/>
    <x v="2"/>
    <n v="1519.83"/>
    <n v="911.89800000000002"/>
    <n v="12.99"/>
    <n v="836"/>
    <x v="1"/>
    <n v="33696"/>
  </r>
  <r>
    <x v="39"/>
    <x v="717"/>
    <s v="James Patterson, Peter de Jonge"/>
    <x v="1"/>
    <x v="1"/>
    <n v="3.82"/>
    <n v="68676"/>
    <x v="0"/>
    <n v="466.83"/>
    <n v="0"/>
    <n v="3.99"/>
    <n v="837"/>
    <x v="1"/>
    <n v="33480"/>
  </r>
  <r>
    <x v="1"/>
    <x v="718"/>
    <s v="Stephen King"/>
    <x v="1"/>
    <x v="1"/>
    <n v="3.92"/>
    <n v="72714"/>
    <x v="2"/>
    <n v="700.83"/>
    <n v="420.49799999999999"/>
    <n v="5.99"/>
    <n v="837"/>
    <x v="0"/>
    <n v="33264"/>
  </r>
  <r>
    <x v="79"/>
    <x v="719"/>
    <s v="Frank Herbert"/>
    <x v="1"/>
    <x v="1"/>
    <n v="3.9"/>
    <n v="74133"/>
    <x v="0"/>
    <n v="115.83"/>
    <n v="0"/>
    <n v="0.99"/>
    <n v="838"/>
    <x v="1"/>
    <n v="33264"/>
  </r>
  <r>
    <x v="4"/>
    <x v="720"/>
    <s v="James S.A. Corey"/>
    <x v="1"/>
    <x v="3"/>
    <n v="4.2"/>
    <n v="68416"/>
    <x v="2"/>
    <n v="1689.48"/>
    <n v="1013.688"/>
    <n v="14.44"/>
    <n v="840"/>
    <x v="0"/>
    <n v="33048"/>
  </r>
  <r>
    <x v="2"/>
    <x v="721"/>
    <s v="Sarah J. Maas"/>
    <x v="1"/>
    <x v="2"/>
    <n v="4.5999999999999996"/>
    <n v="99067"/>
    <x v="0"/>
    <n v="349.83"/>
    <n v="209.898"/>
    <n v="2.99"/>
    <n v="841"/>
    <x v="6"/>
    <n v="33048"/>
  </r>
  <r>
    <x v="19"/>
    <x v="722"/>
    <s v="Art Spiegelman"/>
    <x v="1"/>
    <x v="2"/>
    <n v="4.41"/>
    <n v="90147"/>
    <x v="2"/>
    <n v="583.83000000000004"/>
    <n v="350.298"/>
    <n v="4.99"/>
    <n v="842"/>
    <x v="2"/>
    <n v="32832"/>
  </r>
  <r>
    <x v="110"/>
    <x v="723"/>
    <s v="Ezra Jack Keats"/>
    <x v="1"/>
    <x v="3"/>
    <n v="4.13"/>
    <n v="81914"/>
    <x v="0"/>
    <n v="1170"/>
    <n v="702"/>
    <n v="10"/>
    <n v="843"/>
    <x v="1"/>
    <n v="32832"/>
  </r>
  <r>
    <x v="26"/>
    <x v="724"/>
    <s v="Janet Evanovich"/>
    <x v="1"/>
    <x v="3"/>
    <n v="4.16"/>
    <n v="86963"/>
    <x v="0"/>
    <n v="1402.83"/>
    <n v="841.69799999999998"/>
    <n v="11.99"/>
    <n v="844"/>
    <x v="3"/>
    <n v="32832"/>
  </r>
  <r>
    <x v="6"/>
    <x v="725"/>
    <s v="Emily Giffin"/>
    <x v="0"/>
    <x v="1"/>
    <n v="3.86"/>
    <n v="68224"/>
    <x v="2"/>
    <n v="115.83"/>
    <n v="0"/>
    <n v="0.99"/>
    <n v="845"/>
    <x v="1"/>
    <n v="32616"/>
  </r>
  <r>
    <x v="5"/>
    <x v="726"/>
    <s v="Richard   Preston"/>
    <x v="1"/>
    <x v="3"/>
    <n v="4.0999999999999996"/>
    <n v="72207"/>
    <x v="0"/>
    <n v="349.83"/>
    <n v="0"/>
    <n v="2.99"/>
    <n v="846"/>
    <x v="1"/>
    <n v="32616"/>
  </r>
  <r>
    <x v="32"/>
    <x v="727"/>
    <s v="Haruki Murakami, Philip Gabriel"/>
    <x v="1"/>
    <x v="1"/>
    <n v="3.82"/>
    <n v="62229"/>
    <x v="0"/>
    <n v="1084.5899999999999"/>
    <n v="650.75400000000002"/>
    <n v="9.27"/>
    <n v="846"/>
    <x v="3"/>
    <n v="32616"/>
  </r>
  <r>
    <x v="6"/>
    <x v="728"/>
    <s v="Elizabeth Gilbert"/>
    <x v="1"/>
    <x v="1"/>
    <n v="3.81"/>
    <n v="61135"/>
    <x v="2"/>
    <n v="232.83"/>
    <n v="139.69800000000001"/>
    <n v="1.99"/>
    <n v="848"/>
    <x v="1"/>
    <n v="32400"/>
  </r>
  <r>
    <x v="26"/>
    <x v="729"/>
    <s v="Lynne Truss"/>
    <x v="0"/>
    <x v="1"/>
    <n v="3.86"/>
    <n v="79117"/>
    <x v="0"/>
    <n v="466.83"/>
    <n v="0"/>
    <n v="3.99"/>
    <n v="852"/>
    <x v="1"/>
    <n v="32184"/>
  </r>
  <r>
    <x v="8"/>
    <x v="730"/>
    <s v="Kim Harrison"/>
    <x v="0"/>
    <x v="3"/>
    <n v="4.04"/>
    <n v="91390"/>
    <x v="2"/>
    <n v="349.83"/>
    <n v="0"/>
    <n v="2.99"/>
    <n v="852"/>
    <x v="1"/>
    <n v="32184"/>
  </r>
  <r>
    <x v="28"/>
    <x v="731"/>
    <s v="Clement C. Moore, Jan Brett"/>
    <x v="0"/>
    <x v="3"/>
    <n v="4.3600000000000003"/>
    <n v="81553"/>
    <x v="0"/>
    <n v="466.83"/>
    <n v="0"/>
    <n v="3.99"/>
    <n v="853"/>
    <x v="1"/>
    <n v="32184"/>
  </r>
  <r>
    <x v="38"/>
    <x v="731"/>
    <s v="Diana Gabaldon"/>
    <x v="1"/>
    <x v="2"/>
    <n v="4.42"/>
    <n v="68854"/>
    <x v="0"/>
    <n v="1391.13"/>
    <n v="834.678"/>
    <n v="11.89"/>
    <n v="854"/>
    <x v="5"/>
    <n v="32184"/>
  </r>
  <r>
    <x v="4"/>
    <x v="732"/>
    <s v="Cynthia Hand"/>
    <x v="0"/>
    <x v="3"/>
    <n v="4.0599999999999996"/>
    <n v="99942"/>
    <x v="0"/>
    <n v="232.83"/>
    <n v="139.69800000000001"/>
    <n v="1.99"/>
    <n v="857"/>
    <x v="2"/>
    <n v="31968"/>
  </r>
  <r>
    <x v="80"/>
    <x v="733"/>
    <s v="Lee Strobel"/>
    <x v="0"/>
    <x v="3"/>
    <n v="4.0999999999999996"/>
    <n v="67128"/>
    <x v="0"/>
    <n v="799.11"/>
    <n v="479.46600000000001"/>
    <n v="6.83"/>
    <n v="859"/>
    <x v="6"/>
    <n v="31752"/>
  </r>
  <r>
    <x v="29"/>
    <x v="734"/>
    <s v="Robert Jordan"/>
    <x v="0"/>
    <x v="3"/>
    <n v="4.12"/>
    <n v="71379"/>
    <x v="0"/>
    <n v="349.83"/>
    <n v="0"/>
    <n v="2.99"/>
    <n v="860"/>
    <x v="1"/>
    <n v="31752"/>
  </r>
  <r>
    <x v="39"/>
    <x v="735"/>
    <s v="Carl Hiaasen"/>
    <x v="1"/>
    <x v="1"/>
    <n v="3.81"/>
    <n v="75275"/>
    <x v="0"/>
    <n v="583.83000000000004"/>
    <n v="350.298"/>
    <n v="4.99"/>
    <n v="862"/>
    <x v="3"/>
    <n v="31752"/>
  </r>
  <r>
    <x v="131"/>
    <x v="736"/>
    <s v="Virgil, Robert Fitzgerald"/>
    <x v="1"/>
    <x v="1"/>
    <n v="3.81"/>
    <n v="75051"/>
    <x v="0"/>
    <n v="114.84"/>
    <n v="0"/>
    <n v="0.99"/>
    <n v="863"/>
    <x v="1"/>
    <n v="31752"/>
  </r>
  <r>
    <x v="6"/>
    <x v="737"/>
    <s v="Junot DÃ­az"/>
    <x v="1"/>
    <x v="1"/>
    <n v="3.75"/>
    <n v="66720"/>
    <x v="2"/>
    <n v="624.08000000000004"/>
    <n v="374.44799999999998"/>
    <n v="5.38"/>
    <n v="865"/>
    <x v="1"/>
    <n v="31536"/>
  </r>
  <r>
    <x v="8"/>
    <x v="738"/>
    <s v="Haruki Murakami, Jay Rubin"/>
    <x v="1"/>
    <x v="1"/>
    <n v="3.68"/>
    <n v="64278"/>
    <x v="0"/>
    <n v="694.84"/>
    <n v="0"/>
    <n v="5.99"/>
    <n v="866"/>
    <x v="1"/>
    <n v="31536"/>
  </r>
  <r>
    <x v="76"/>
    <x v="739"/>
    <s v="Daniel Quinn"/>
    <x v="0"/>
    <x v="1"/>
    <n v="3.97"/>
    <n v="63304"/>
    <x v="0"/>
    <n v="892.04"/>
    <n v="535.22400000000005"/>
    <n v="7.69"/>
    <n v="867"/>
    <x v="4"/>
    <n v="31536"/>
  </r>
  <r>
    <x v="10"/>
    <x v="740"/>
    <s v="Jenny Han"/>
    <x v="0"/>
    <x v="3"/>
    <n v="4.1399999999999997"/>
    <n v="80367"/>
    <x v="0"/>
    <n v="346.84"/>
    <n v="0"/>
    <n v="2.99"/>
    <n v="868"/>
    <x v="1"/>
    <n v="31536"/>
  </r>
  <r>
    <x v="6"/>
    <x v="741"/>
    <s v="Katie McGarry"/>
    <x v="1"/>
    <x v="3"/>
    <n v="4.08"/>
    <n v="93818"/>
    <x v="0"/>
    <n v="462.84"/>
    <n v="0"/>
    <n v="3.99"/>
    <n v="869"/>
    <x v="1"/>
    <n v="31320"/>
  </r>
  <r>
    <x v="61"/>
    <x v="742"/>
    <s v="Kennilworthy Whisp, J.K. Rowling"/>
    <x v="1"/>
    <x v="1"/>
    <n v="3.85"/>
    <n v="90908"/>
    <x v="0"/>
    <n v="114.84"/>
    <n v="68.903999999999996"/>
    <n v="0.99"/>
    <n v="869"/>
    <x v="4"/>
    <n v="31320"/>
  </r>
  <r>
    <x v="50"/>
    <x v="743"/>
    <s v="Harry Allard, James  Marshall"/>
    <x v="1"/>
    <x v="3"/>
    <n v="4.26"/>
    <n v="77206"/>
    <x v="0"/>
    <n v="1158.8399999999999"/>
    <n v="695.30399999999997"/>
    <n v="9.99"/>
    <n v="871"/>
    <x v="3"/>
    <n v="31320"/>
  </r>
  <r>
    <x v="64"/>
    <x v="744"/>
    <s v="Richard Bachman, Stephen King"/>
    <x v="1"/>
    <x v="3"/>
    <n v="4.1100000000000003"/>
    <n v="71775"/>
    <x v="2"/>
    <n v="462.84"/>
    <n v="277.70400000000001"/>
    <n v="3.99"/>
    <n v="871"/>
    <x v="2"/>
    <n v="31320"/>
  </r>
  <r>
    <x v="61"/>
    <x v="745"/>
    <s v="Lemony Snicket, Brett Helquist"/>
    <x v="1"/>
    <x v="3"/>
    <n v="4.01"/>
    <n v="90071"/>
    <x v="2"/>
    <n v="230.84"/>
    <n v="138.50399999999999"/>
    <n v="1.99"/>
    <n v="873"/>
    <x v="4"/>
    <n v="31104"/>
  </r>
  <r>
    <x v="8"/>
    <x v="746"/>
    <s v="Lois Lowry"/>
    <x v="1"/>
    <x v="1"/>
    <n v="3.9"/>
    <n v="79746"/>
    <x v="0"/>
    <n v="462.84"/>
    <n v="277.70400000000001"/>
    <n v="3.99"/>
    <n v="877"/>
    <x v="1"/>
    <n v="30888"/>
  </r>
  <r>
    <x v="27"/>
    <x v="747"/>
    <s v="J.R. Ward"/>
    <x v="1"/>
    <x v="3"/>
    <n v="4.3"/>
    <n v="97830"/>
    <x v="0"/>
    <n v="694.84"/>
    <n v="0"/>
    <n v="5.99"/>
    <n v="879"/>
    <x v="1"/>
    <n v="30888"/>
  </r>
  <r>
    <x v="29"/>
    <x v="748"/>
    <s v="Stephen King, Jerry N. Uelsmann"/>
    <x v="1"/>
    <x v="3"/>
    <n v="4.25"/>
    <n v="72797"/>
    <x v="0"/>
    <n v="770.24"/>
    <n v="462.14400000000001"/>
    <n v="6.64"/>
    <n v="879"/>
    <x v="2"/>
    <n v="30672"/>
  </r>
  <r>
    <x v="27"/>
    <x v="749"/>
    <s v="Trenton Lee Stewart, Carson Ellis"/>
    <x v="0"/>
    <x v="3"/>
    <n v="4.1399999999999997"/>
    <n v="87335"/>
    <x v="0"/>
    <n v="114.84"/>
    <n v="68.903999999999996"/>
    <n v="0.99"/>
    <n v="881"/>
    <x v="1"/>
    <n v="30672"/>
  </r>
  <r>
    <x v="27"/>
    <x v="750"/>
    <s v="Christopher Hitchens"/>
    <x v="1"/>
    <x v="1"/>
    <n v="3.96"/>
    <n v="64347"/>
    <x v="3"/>
    <n v="694.84"/>
    <n v="416.904"/>
    <n v="5.99"/>
    <n v="883"/>
    <x v="1"/>
    <n v="30456"/>
  </r>
  <r>
    <x v="17"/>
    <x v="751"/>
    <s v="Abbi Glines"/>
    <x v="1"/>
    <x v="3"/>
    <n v="4.21"/>
    <n v="97616"/>
    <x v="0"/>
    <n v="114.84"/>
    <n v="68.903999999999996"/>
    <n v="0.99"/>
    <n v="884"/>
    <x v="1"/>
    <n v="30456"/>
  </r>
  <r>
    <x v="8"/>
    <x v="752"/>
    <s v="Michael Crichton"/>
    <x v="1"/>
    <x v="1"/>
    <n v="3.69"/>
    <n v="65397"/>
    <x v="0"/>
    <n v="114.84"/>
    <n v="68.903999999999996"/>
    <n v="0.99"/>
    <n v="885"/>
    <x v="1"/>
    <n v="30240"/>
  </r>
  <r>
    <x v="6"/>
    <x v="753"/>
    <s v="Jennifer E. Smith"/>
    <x v="1"/>
    <x v="1"/>
    <n v="3.8"/>
    <n v="89356"/>
    <x v="0"/>
    <n v="114.84"/>
    <n v="0"/>
    <n v="0.99"/>
    <n v="886"/>
    <x v="1"/>
    <n v="30240"/>
  </r>
  <r>
    <x v="8"/>
    <x v="754"/>
    <s v="Jonathan Stroud"/>
    <x v="0"/>
    <x v="3"/>
    <n v="4.09"/>
    <n v="69058"/>
    <x v="2"/>
    <n v="810.84"/>
    <n v="486.50400000000002"/>
    <n v="6.99"/>
    <n v="886"/>
    <x v="5"/>
    <n v="29808"/>
  </r>
  <r>
    <x v="45"/>
    <x v="755"/>
    <s v="Tom Robbins"/>
    <x v="1"/>
    <x v="3"/>
    <n v="4.04"/>
    <n v="56802"/>
    <x v="0"/>
    <n v="346.84"/>
    <n v="0"/>
    <n v="2.99"/>
    <n v="887"/>
    <x v="1"/>
    <n v="29808"/>
  </r>
  <r>
    <x v="8"/>
    <x v="756"/>
    <s v="Jenna Blum"/>
    <x v="0"/>
    <x v="3"/>
    <n v="4.12"/>
    <n v="68480"/>
    <x v="0"/>
    <n v="114.84"/>
    <n v="0"/>
    <n v="0.99"/>
    <n v="890"/>
    <x v="1"/>
    <n v="29808"/>
  </r>
  <r>
    <x v="29"/>
    <x v="757"/>
    <s v="John Grisham"/>
    <x v="1"/>
    <x v="1"/>
    <n v="3.77"/>
    <n v="65428"/>
    <x v="0"/>
    <n v="114.84"/>
    <n v="68.903999999999996"/>
    <n v="0.99"/>
    <n v="892"/>
    <x v="1"/>
    <n v="29592"/>
  </r>
  <r>
    <x v="4"/>
    <x v="758"/>
    <s v="Beth Revis"/>
    <x v="1"/>
    <x v="1"/>
    <n v="3.78"/>
    <n v="94176"/>
    <x v="0"/>
    <n v="462.84"/>
    <n v="0"/>
    <n v="3.99"/>
    <n v="892"/>
    <x v="1"/>
    <n v="29376"/>
  </r>
  <r>
    <x v="98"/>
    <x v="759"/>
    <s v="M. Scott Peck"/>
    <x v="0"/>
    <x v="3"/>
    <n v="4.03"/>
    <n v="61238"/>
    <x v="2"/>
    <n v="1042.8399999999999"/>
    <n v="625.70399999999995"/>
    <n v="8.99"/>
    <n v="893"/>
    <x v="1"/>
    <n v="29160"/>
  </r>
  <r>
    <x v="8"/>
    <x v="760"/>
    <s v="Jim Butcher"/>
    <x v="1"/>
    <x v="3"/>
    <n v="4.33"/>
    <n v="79627"/>
    <x v="2"/>
    <n v="1041.68"/>
    <n v="625.00800000000004"/>
    <n v="8.98"/>
    <n v="894"/>
    <x v="1"/>
    <n v="28944"/>
  </r>
  <r>
    <x v="132"/>
    <x v="761"/>
    <s v="Gertrude Chandler Warner, L. Kate Deal"/>
    <x v="0"/>
    <x v="3"/>
    <n v="4.09"/>
    <n v="92916"/>
    <x v="0"/>
    <n v="1506.84"/>
    <n v="904.10400000000004"/>
    <n v="12.99"/>
    <n v="894"/>
    <x v="5"/>
    <n v="28944"/>
  </r>
  <r>
    <x v="17"/>
    <x v="762"/>
    <s v="A.S.A. Harrison"/>
    <x v="1"/>
    <x v="0"/>
    <n v="3.3"/>
    <n v="60323"/>
    <x v="2"/>
    <n v="784.16"/>
    <n v="470.49599999999998"/>
    <n v="6.76"/>
    <n v="897"/>
    <x v="1"/>
    <n v="28728"/>
  </r>
  <r>
    <x v="4"/>
    <x v="763"/>
    <s v="Caitlin Moran"/>
    <x v="1"/>
    <x v="1"/>
    <n v="3.73"/>
    <n v="70446"/>
    <x v="0"/>
    <n v="346.84"/>
    <n v="0"/>
    <n v="2.99"/>
    <n v="898"/>
    <x v="1"/>
    <n v="28512"/>
  </r>
  <r>
    <x v="95"/>
    <x v="764"/>
    <s v="Sarah J. Maas"/>
    <x v="1"/>
    <x v="2"/>
    <n v="4.72"/>
    <n v="108384"/>
    <x v="0"/>
    <n v="1158.8399999999999"/>
    <n v="695.30399999999997"/>
    <n v="9.99"/>
    <n v="900"/>
    <x v="5"/>
    <n v="28512"/>
  </r>
  <r>
    <x v="10"/>
    <x v="765"/>
    <s v="Keith Richards"/>
    <x v="3"/>
    <x v="1"/>
    <n v="3.84"/>
    <n v="60409"/>
    <x v="0"/>
    <n v="926.84"/>
    <n v="556.10400000000004"/>
    <n v="7.99"/>
    <n v="900"/>
    <x v="4"/>
    <n v="28512"/>
  </r>
  <r>
    <x v="3"/>
    <x v="766"/>
    <s v="Jhumpa Lahiri"/>
    <x v="1"/>
    <x v="3"/>
    <n v="4.1100000000000003"/>
    <n v="60126"/>
    <x v="0"/>
    <n v="458.85"/>
    <n v="0"/>
    <n v="3.99"/>
    <n v="903"/>
    <x v="1"/>
    <n v="28296"/>
  </r>
  <r>
    <x v="31"/>
    <x v="767"/>
    <s v="Anita Shreve"/>
    <x v="1"/>
    <x v="1"/>
    <n v="3.5"/>
    <n v="71777"/>
    <x v="0"/>
    <n v="1367.35"/>
    <n v="820.41"/>
    <n v="11.89"/>
    <n v="904"/>
    <x v="5"/>
    <n v="28296"/>
  </r>
  <r>
    <x v="54"/>
    <x v="768"/>
    <s v="Don DeLillo"/>
    <x v="1"/>
    <x v="1"/>
    <n v="3.86"/>
    <n v="55678"/>
    <x v="0"/>
    <n v="573.85"/>
    <n v="0"/>
    <n v="4.99"/>
    <n v="905"/>
    <x v="1"/>
    <n v="28296"/>
  </r>
  <r>
    <x v="76"/>
    <x v="769"/>
    <s v="Stephen E. Ambrose"/>
    <x v="1"/>
    <x v="2"/>
    <n v="4.42"/>
    <n v="66079"/>
    <x v="0"/>
    <n v="343.85"/>
    <n v="0"/>
    <n v="2.99"/>
    <n v="907"/>
    <x v="1"/>
    <n v="2943"/>
  </r>
  <r>
    <x v="116"/>
    <x v="770"/>
    <s v="Charles Darwin"/>
    <x v="1"/>
    <x v="1"/>
    <n v="3.97"/>
    <n v="64162"/>
    <x v="0"/>
    <n v="1033.8499999999999"/>
    <n v="620.30999999999995"/>
    <n v="8.99"/>
    <n v="909"/>
    <x v="0"/>
    <n v="2943"/>
  </r>
  <r>
    <x v="26"/>
    <x v="771"/>
    <s v="Craig Thompson"/>
    <x v="1"/>
    <x v="3"/>
    <n v="4.0599999999999996"/>
    <n v="70454"/>
    <x v="0"/>
    <n v="343.85"/>
    <n v="0"/>
    <n v="2.99"/>
    <n v="909"/>
    <x v="1"/>
    <n v="2943"/>
  </r>
  <r>
    <x v="3"/>
    <x v="772"/>
    <s v="David Wroblewski"/>
    <x v="1"/>
    <x v="1"/>
    <n v="3.6"/>
    <n v="70382"/>
    <x v="2"/>
    <n v="343.85"/>
    <n v="0"/>
    <n v="2.99"/>
    <n v="910"/>
    <x v="1"/>
    <n v="2943"/>
  </r>
  <r>
    <x v="18"/>
    <x v="773"/>
    <s v="Christina Schwarz"/>
    <x v="1"/>
    <x v="1"/>
    <n v="3.73"/>
    <n v="67768"/>
    <x v="0"/>
    <n v="573.85"/>
    <n v="0"/>
    <n v="4.99"/>
    <n v="911"/>
    <x v="1"/>
    <n v="2916"/>
  </r>
  <r>
    <x v="78"/>
    <x v="774"/>
    <s v="Charles Bukowski"/>
    <x v="0"/>
    <x v="3"/>
    <n v="4.01"/>
    <n v="59295"/>
    <x v="2"/>
    <n v="343.85"/>
    <n v="206.31"/>
    <n v="2.99"/>
    <n v="913"/>
    <x v="0"/>
    <n v="2916"/>
  </r>
  <r>
    <x v="76"/>
    <x v="775"/>
    <s v="Cormac McCarthy"/>
    <x v="1"/>
    <x v="1"/>
    <n v="3.97"/>
    <n v="68451"/>
    <x v="0"/>
    <n v="458.85"/>
    <n v="0"/>
    <n v="3.99"/>
    <n v="914"/>
    <x v="1"/>
    <n v="2916"/>
  </r>
  <r>
    <x v="126"/>
    <x v="776"/>
    <s v="Arthur Conan Doyle, Kyle Freeman"/>
    <x v="1"/>
    <x v="2"/>
    <n v="4.46"/>
    <n v="66857"/>
    <x v="2"/>
    <n v="1263.8499999999999"/>
    <n v="758.31"/>
    <n v="10.99"/>
    <n v="914"/>
    <x v="4"/>
    <n v="2916"/>
  </r>
  <r>
    <x v="37"/>
    <x v="777"/>
    <s v="EiichirÅ Oda, Andy Nakatani"/>
    <x v="1"/>
    <x v="2"/>
    <n v="4.42"/>
    <n v="67047"/>
    <x v="0"/>
    <n v="458.85"/>
    <n v="0"/>
    <n v="3.99"/>
    <n v="915"/>
    <x v="1"/>
    <n v="2916"/>
  </r>
  <r>
    <x v="42"/>
    <x v="778"/>
    <s v="Peter S. Beagle"/>
    <x v="1"/>
    <x v="3"/>
    <n v="4.18"/>
    <n v="76277"/>
    <x v="0"/>
    <n v="343.85"/>
    <n v="0"/>
    <n v="2.99"/>
    <n v="916"/>
    <x v="1"/>
    <n v="2916"/>
  </r>
  <r>
    <x v="29"/>
    <x v="779"/>
    <s v="Angie Sage"/>
    <x v="1"/>
    <x v="1"/>
    <n v="3.8"/>
    <n v="86805"/>
    <x v="0"/>
    <n v="343.85"/>
    <n v="206.31"/>
    <n v="2.99"/>
    <n v="917"/>
    <x v="1"/>
    <n v="2916"/>
  </r>
  <r>
    <x v="18"/>
    <x v="780"/>
    <s v="Laurie Halse Anderson"/>
    <x v="0"/>
    <x v="1"/>
    <n v="3.89"/>
    <n v="81945"/>
    <x v="0"/>
    <n v="458.85"/>
    <n v="0"/>
    <n v="3.99"/>
    <n v="918"/>
    <x v="1"/>
    <n v="2916"/>
  </r>
  <r>
    <x v="3"/>
    <x v="781"/>
    <s v="Tana French"/>
    <x v="1"/>
    <x v="3"/>
    <n v="4.05"/>
    <n v="72480"/>
    <x v="0"/>
    <n v="803.85"/>
    <n v="482.31"/>
    <n v="6.99"/>
    <n v="920"/>
    <x v="3"/>
    <n v="2916"/>
  </r>
  <r>
    <x v="2"/>
    <x v="782"/>
    <s v="Erik Larson"/>
    <x v="1"/>
    <x v="3"/>
    <n v="4.07"/>
    <n v="61439"/>
    <x v="0"/>
    <n v="930.35"/>
    <n v="558.21"/>
    <n v="8.09"/>
    <n v="921"/>
    <x v="3"/>
    <n v="2916"/>
  </r>
  <r>
    <x v="83"/>
    <x v="783"/>
    <s v="Rudyard Kipling"/>
    <x v="1"/>
    <x v="1"/>
    <n v="3.94"/>
    <n v="67107"/>
    <x v="1"/>
    <n v="113.85"/>
    <n v="68.31"/>
    <n v="0.99"/>
    <n v="922"/>
    <x v="1"/>
    <n v="2916"/>
  </r>
  <r>
    <x v="17"/>
    <x v="784"/>
    <s v="Terry Hayes"/>
    <x v="1"/>
    <x v="3"/>
    <n v="4.2300000000000004"/>
    <n v="49740"/>
    <x v="0"/>
    <n v="573.85"/>
    <n v="344.31"/>
    <n v="4.99"/>
    <n v="924"/>
    <x v="1"/>
    <n v="2916"/>
  </r>
  <r>
    <x v="57"/>
    <x v="785"/>
    <s v="Allen Ginsberg, William Carlos Williams"/>
    <x v="1"/>
    <x v="3"/>
    <n v="4.1399999999999997"/>
    <n v="71968"/>
    <x v="2"/>
    <n v="1269.5999999999999"/>
    <n v="761.76"/>
    <n v="11.04"/>
    <n v="926"/>
    <x v="0"/>
    <n v="2916"/>
  </r>
  <r>
    <x v="37"/>
    <x v="786"/>
    <s v="Richard Carlson"/>
    <x v="1"/>
    <x v="1"/>
    <n v="3.95"/>
    <n v="63324"/>
    <x v="0"/>
    <n v="884.35"/>
    <n v="530.61"/>
    <n v="7.69"/>
    <n v="927"/>
    <x v="4"/>
    <n v="2916"/>
  </r>
  <r>
    <x v="4"/>
    <x v="787"/>
    <s v="Adam Mansbach, Ricardo CortÃ©s"/>
    <x v="1"/>
    <x v="3"/>
    <n v="4.26"/>
    <n v="71816"/>
    <x v="0"/>
    <n v="113.85"/>
    <n v="68.31"/>
    <n v="0.99"/>
    <n v="930"/>
    <x v="1"/>
    <n v="2916"/>
  </r>
  <r>
    <x v="76"/>
    <x v="788"/>
    <s v="Douglas Adams"/>
    <x v="0"/>
    <x v="1"/>
    <n v="3.96"/>
    <n v="72426"/>
    <x v="2"/>
    <n v="573.85"/>
    <n v="344.31"/>
    <n v="4.99"/>
    <n v="931"/>
    <x v="5"/>
    <n v="2916"/>
  </r>
  <r>
    <x v="26"/>
    <x v="789"/>
    <s v="Walter Isaacson"/>
    <x v="1"/>
    <x v="1"/>
    <n v="3.96"/>
    <n v="70335"/>
    <x v="0"/>
    <n v="573.85"/>
    <n v="344.31"/>
    <n v="4.99"/>
    <n v="933"/>
    <x v="6"/>
    <n v="2916"/>
  </r>
  <r>
    <x v="4"/>
    <x v="790"/>
    <s v="TÃ©a Obreht"/>
    <x v="1"/>
    <x v="0"/>
    <n v="3.37"/>
    <n v="66104"/>
    <x v="0"/>
    <n v="113.85"/>
    <n v="0"/>
    <n v="0.99"/>
    <n v="936"/>
    <x v="1"/>
    <n v="2916"/>
  </r>
  <r>
    <x v="29"/>
    <x v="791"/>
    <s v="Maria V. Snyder"/>
    <x v="1"/>
    <x v="3"/>
    <n v="4.16"/>
    <n v="96417"/>
    <x v="0"/>
    <n v="343.85"/>
    <n v="0"/>
    <n v="2.99"/>
    <n v="937"/>
    <x v="1"/>
    <n v="2916"/>
  </r>
  <r>
    <x v="27"/>
    <x v="792"/>
    <s v="J.R. Ward"/>
    <x v="1"/>
    <x v="3"/>
    <n v="4.33"/>
    <n v="97514"/>
    <x v="1"/>
    <n v="910.86"/>
    <n v="546.51599999999996"/>
    <n v="7.99"/>
    <n v="938"/>
    <x v="1"/>
    <n v="2916"/>
  </r>
  <r>
    <x v="8"/>
    <x v="793"/>
    <s v="Terry Pratchett"/>
    <x v="1"/>
    <x v="3"/>
    <n v="4.3600000000000003"/>
    <n v="75186"/>
    <x v="1"/>
    <n v="1366.86"/>
    <n v="820.11599999999999"/>
    <n v="11.99"/>
    <n v="939"/>
    <x v="3"/>
    <n v="2916"/>
  </r>
  <r>
    <x v="133"/>
    <x v="794"/>
    <s v="Anonymous, Joseph Smith Jr."/>
    <x v="1"/>
    <x v="3"/>
    <n v="4.37"/>
    <n v="63530"/>
    <x v="0"/>
    <n v="1366.86"/>
    <n v="820.11599999999999"/>
    <n v="11.99"/>
    <n v="941"/>
    <x v="4"/>
    <n v="2916"/>
  </r>
  <r>
    <x v="45"/>
    <x v="795"/>
    <s v="Stephen King"/>
    <x v="0"/>
    <x v="1"/>
    <n v="3.92"/>
    <n v="82062"/>
    <x v="2"/>
    <n v="340.86"/>
    <n v="204.51599999999999"/>
    <n v="2.99"/>
    <n v="943"/>
    <x v="1"/>
    <n v="2916"/>
  </r>
  <r>
    <x v="29"/>
    <x v="796"/>
    <s v="Jim Butcher"/>
    <x v="1"/>
    <x v="2"/>
    <n v="4.43"/>
    <n v="78123"/>
    <x v="0"/>
    <n v="568.86"/>
    <n v="0"/>
    <n v="4.99"/>
    <n v="944"/>
    <x v="1"/>
    <n v="2916"/>
  </r>
  <r>
    <x v="2"/>
    <x v="797"/>
    <s v="Pierce Brown"/>
    <x v="1"/>
    <x v="2"/>
    <n v="4.46"/>
    <n v="57614"/>
    <x v="0"/>
    <n v="112.86"/>
    <n v="0"/>
    <n v="0.99"/>
    <n v="946"/>
    <x v="1"/>
    <n v="2916"/>
  </r>
  <r>
    <x v="39"/>
    <x v="798"/>
    <s v="Terry Pratchett"/>
    <x v="1"/>
    <x v="2"/>
    <n v="4.47"/>
    <n v="71271"/>
    <x v="2"/>
    <n v="910.86"/>
    <n v="546.51599999999996"/>
    <n v="7.99"/>
    <n v="947"/>
    <x v="1"/>
    <n v="2916"/>
  </r>
  <r>
    <x v="28"/>
    <x v="799"/>
    <s v="Terry Pratchett"/>
    <x v="0"/>
    <x v="1"/>
    <n v="3.94"/>
    <n v="75196"/>
    <x v="2"/>
    <n v="112.86"/>
    <n v="67.715999999999994"/>
    <n v="0.99"/>
    <n v="949"/>
    <x v="1"/>
    <n v="2916"/>
  </r>
  <r>
    <x v="38"/>
    <x v="800"/>
    <s v="Malcolm Gladwell"/>
    <x v="1"/>
    <x v="1"/>
    <n v="3.82"/>
    <n v="65277"/>
    <x v="0"/>
    <n v="876.66"/>
    <n v="525.99599999999998"/>
    <n v="7.69"/>
    <n v="950"/>
    <x v="4"/>
    <n v="2916"/>
  </r>
  <r>
    <x v="2"/>
    <x v="801"/>
    <s v="Karin Slaughter"/>
    <x v="1"/>
    <x v="1"/>
    <n v="3.95"/>
    <n v="60737"/>
    <x v="0"/>
    <n v="226.86"/>
    <n v="0"/>
    <n v="1.99"/>
    <n v="952"/>
    <x v="1"/>
    <n v="2916"/>
  </r>
  <r>
    <x v="3"/>
    <x v="802"/>
    <s v="Joe Abercrombie"/>
    <x v="1"/>
    <x v="3"/>
    <n v="4.26"/>
    <n v="65068"/>
    <x v="0"/>
    <n v="568.86"/>
    <n v="341.31599999999997"/>
    <n v="4.99"/>
    <n v="952"/>
    <x v="6"/>
    <n v="2916"/>
  </r>
  <r>
    <x v="49"/>
    <x v="803"/>
    <s v="Stephen King"/>
    <x v="0"/>
    <x v="1"/>
    <n v="3.75"/>
    <n v="53662"/>
    <x v="0"/>
    <n v="568.86"/>
    <n v="0"/>
    <n v="4.99"/>
    <n v="953"/>
    <x v="1"/>
    <n v="2916"/>
  </r>
  <r>
    <x v="9"/>
    <x v="804"/>
    <s v="Dr. Seuss"/>
    <x v="1"/>
    <x v="3"/>
    <n v="4.16"/>
    <n v="80883"/>
    <x v="0"/>
    <n v="112.86"/>
    <n v="67.715999999999994"/>
    <n v="0.99"/>
    <n v="955"/>
    <x v="1"/>
    <n v="2916"/>
  </r>
  <r>
    <x v="15"/>
    <x v="805"/>
    <s v="Michael   Lewis"/>
    <x v="1"/>
    <x v="3"/>
    <n v="4.16"/>
    <n v="37792"/>
    <x v="3"/>
    <n v="226.86"/>
    <n v="136.11600000000001"/>
    <n v="1.99"/>
    <n v="956"/>
    <x v="0"/>
    <n v="2889"/>
  </r>
  <r>
    <x v="61"/>
    <x v="806"/>
    <s v="Garth Nix"/>
    <x v="0"/>
    <x v="3"/>
    <n v="4.29"/>
    <n v="78903"/>
    <x v="0"/>
    <n v="876.66"/>
    <n v="525.99599999999998"/>
    <n v="7.69"/>
    <n v="957"/>
    <x v="3"/>
    <n v="2889"/>
  </r>
  <r>
    <x v="15"/>
    <x v="807"/>
    <s v="James Patterson"/>
    <x v="0"/>
    <x v="3"/>
    <n v="4.16"/>
    <n v="90157"/>
    <x v="1"/>
    <n v="340.86"/>
    <n v="204.51599999999999"/>
    <n v="2.99"/>
    <n v="958"/>
    <x v="1"/>
    <n v="2889"/>
  </r>
  <r>
    <x v="27"/>
    <x v="808"/>
    <s v="Yana Toboso, Tomo Kimura"/>
    <x v="1"/>
    <x v="3"/>
    <n v="4.37"/>
    <n v="74378"/>
    <x v="2"/>
    <n v="1366.86"/>
    <n v="820.11599999999999"/>
    <n v="11.99"/>
    <n v="960"/>
    <x v="3"/>
    <n v="2889"/>
  </r>
  <r>
    <x v="2"/>
    <x v="809"/>
    <s v="Marissa Meyer"/>
    <x v="1"/>
    <x v="2"/>
    <n v="4.49"/>
    <n v="100464"/>
    <x v="2"/>
    <n v="397.86"/>
    <n v="0"/>
    <n v="3.49"/>
    <n v="961"/>
    <x v="1"/>
    <n v="2889"/>
  </r>
  <r>
    <x v="134"/>
    <x v="810"/>
    <s v="Robert Louis Stevenson, Robert Mighall"/>
    <x v="1"/>
    <x v="1"/>
    <n v="3.94"/>
    <n v="80299"/>
    <x v="0"/>
    <n v="568.86"/>
    <n v="341.31599999999997"/>
    <n v="4.99"/>
    <n v="963"/>
    <x v="4"/>
    <n v="2889"/>
  </r>
  <r>
    <x v="6"/>
    <x v="811"/>
    <s v="Emily Seife"/>
    <x v="0"/>
    <x v="2"/>
    <n v="4.4000000000000004"/>
    <n v="67264"/>
    <x v="0"/>
    <n v="340.86"/>
    <n v="0"/>
    <n v="2.99"/>
    <n v="963"/>
    <x v="1"/>
    <n v="2889"/>
  </r>
  <r>
    <x v="3"/>
    <x v="811"/>
    <s v="Peter V. Brett"/>
    <x v="1"/>
    <x v="3"/>
    <n v="4.2699999999999996"/>
    <n v="64416"/>
    <x v="0"/>
    <n v="454.86"/>
    <n v="272.916"/>
    <n v="3.99"/>
    <n v="966"/>
    <x v="1"/>
    <n v="2889"/>
  </r>
  <r>
    <x v="135"/>
    <x v="812"/>
    <s v="John Bunyan"/>
    <x v="1"/>
    <x v="1"/>
    <n v="3.98"/>
    <n v="67777"/>
    <x v="0"/>
    <n v="856.14"/>
    <n v="513.68399999999997"/>
    <n v="7.51"/>
    <n v="967"/>
    <x v="3"/>
    <n v="2889"/>
  </r>
  <r>
    <x v="29"/>
    <x v="812"/>
    <s v="Lee Child"/>
    <x v="1"/>
    <x v="3"/>
    <n v="4.2"/>
    <n v="63335"/>
    <x v="0"/>
    <n v="340.86"/>
    <n v="204.51599999999999"/>
    <n v="2.99"/>
    <n v="968"/>
    <x v="5"/>
    <n v="2889"/>
  </r>
  <r>
    <x v="6"/>
    <x v="813"/>
    <s v="Rick Riordan"/>
    <x v="1"/>
    <x v="3"/>
    <n v="4.28"/>
    <n v="82757"/>
    <x v="0"/>
    <n v="345.42"/>
    <n v="0"/>
    <n v="3.03"/>
    <n v="968"/>
    <x v="1"/>
    <n v="2889"/>
  </r>
  <r>
    <x v="3"/>
    <x v="814"/>
    <s v="Stephen King"/>
    <x v="0"/>
    <x v="1"/>
    <n v="3.93"/>
    <n v="73807"/>
    <x v="0"/>
    <n v="844.74"/>
    <n v="506.84399999999999"/>
    <n v="7.41"/>
    <n v="969"/>
    <x v="6"/>
    <n v="2889"/>
  </r>
  <r>
    <x v="15"/>
    <x v="815"/>
    <s v="Kate Morton"/>
    <x v="1"/>
    <x v="1"/>
    <n v="3.93"/>
    <n v="69948"/>
    <x v="0"/>
    <n v="228"/>
    <n v="0"/>
    <n v="2"/>
    <n v="970"/>
    <x v="1"/>
    <n v="2889"/>
  </r>
  <r>
    <x v="18"/>
    <x v="816"/>
    <s v="Robert Jordan"/>
    <x v="0"/>
    <x v="1"/>
    <n v="3.92"/>
    <n v="71355"/>
    <x v="1"/>
    <n v="597.36"/>
    <n v="358.416"/>
    <n v="5.24"/>
    <n v="970"/>
    <x v="1"/>
    <n v="2889"/>
  </r>
  <r>
    <x v="15"/>
    <x v="816"/>
    <s v="Jim Butcher"/>
    <x v="1"/>
    <x v="2"/>
    <n v="4.41"/>
    <n v="75133"/>
    <x v="0"/>
    <n v="778.62"/>
    <n v="467.17200000000003"/>
    <n v="6.83"/>
    <n v="971"/>
    <x v="5"/>
    <n v="2889"/>
  </r>
  <r>
    <x v="109"/>
    <x v="817"/>
    <s v="Fyodor Dostoyevsky, Andrew R. MacAndrew, Ben Marcus"/>
    <x v="1"/>
    <x v="3"/>
    <n v="4.17"/>
    <n v="65900"/>
    <x v="0"/>
    <n v="910.86"/>
    <n v="546.51599999999996"/>
    <n v="7.99"/>
    <n v="971"/>
    <x v="4"/>
    <n v="2889"/>
  </r>
  <r>
    <x v="136"/>
    <x v="818"/>
    <s v="Carson McCullers"/>
    <x v="1"/>
    <x v="1"/>
    <n v="3.97"/>
    <n v="67643"/>
    <x v="0"/>
    <n v="454.86"/>
    <n v="0"/>
    <n v="3.99"/>
    <n v="972"/>
    <x v="1"/>
    <n v="2889"/>
  </r>
  <r>
    <x v="49"/>
    <x v="819"/>
    <s v="Rick Yancey"/>
    <x v="1"/>
    <x v="1"/>
    <n v="3.94"/>
    <n v="78314"/>
    <x v="0"/>
    <n v="454.86"/>
    <n v="0"/>
    <n v="3.99"/>
    <n v="973"/>
    <x v="1"/>
    <n v="2889"/>
  </r>
  <r>
    <x v="63"/>
    <x v="820"/>
    <s v="T.H. White"/>
    <x v="1"/>
    <x v="3"/>
    <n v="4.08"/>
    <n v="76911"/>
    <x v="2"/>
    <n v="746.7"/>
    <n v="448.02"/>
    <n v="6.55"/>
    <n v="973"/>
    <x v="6"/>
    <n v="2889"/>
  </r>
  <r>
    <x v="76"/>
    <x v="821"/>
    <s v="Terry Pratchett"/>
    <x v="3"/>
    <x v="3"/>
    <n v="4.2699999999999996"/>
    <n v="72588"/>
    <x v="0"/>
    <n v="1220.4000000000001"/>
    <n v="732.24"/>
    <n v="10.8"/>
    <n v="977"/>
    <x v="0"/>
    <n v="2889"/>
  </r>
  <r>
    <x v="32"/>
    <x v="822"/>
    <s v="Christopher Paul Curtis"/>
    <x v="1"/>
    <x v="1"/>
    <n v="3.89"/>
    <n v="73000"/>
    <x v="0"/>
    <n v="431.66"/>
    <n v="258.99599999999998"/>
    <n v="3.82"/>
    <n v="980"/>
    <x v="1"/>
    <n v="2889"/>
  </r>
  <r>
    <x v="15"/>
    <x v="823"/>
    <s v="Alison Bechdel"/>
    <x v="1"/>
    <x v="3"/>
    <n v="4.12"/>
    <n v="48305"/>
    <x v="0"/>
    <n v="902.87"/>
    <n v="541.72199999999998"/>
    <n v="7.99"/>
    <n v="981"/>
    <x v="2"/>
    <n v="2889"/>
  </r>
  <r>
    <x v="27"/>
    <x v="823"/>
    <s v="Dan Ariely"/>
    <x v="0"/>
    <x v="3"/>
    <n v="4.0999999999999996"/>
    <n v="61496"/>
    <x v="0"/>
    <n v="563.87"/>
    <n v="0"/>
    <n v="4.99"/>
    <n v="982"/>
    <x v="1"/>
    <n v="2889"/>
  </r>
  <r>
    <x v="6"/>
    <x v="824"/>
    <s v="Ø£Ø­Ù…Ø¯ Ù…Ø±Ø§Ø¯"/>
    <x v="7"/>
    <x v="1"/>
    <n v="3.8"/>
    <n v="53187"/>
    <x v="2"/>
    <n v="1128.8699999999999"/>
    <n v="677.322"/>
    <n v="9.99"/>
    <n v="984"/>
    <x v="1"/>
    <n v="2889"/>
  </r>
  <r>
    <x v="45"/>
    <x v="825"/>
    <s v="Lynne Reid Banks"/>
    <x v="1"/>
    <x v="1"/>
    <n v="3.89"/>
    <n v="77046"/>
    <x v="0"/>
    <n v="450.87"/>
    <n v="0"/>
    <n v="3.99"/>
    <n v="985"/>
    <x v="1"/>
    <n v="2889"/>
  </r>
  <r>
    <x v="6"/>
    <x v="826"/>
    <s v="Robert Jordan, Brandon Sanderson"/>
    <x v="1"/>
    <x v="2"/>
    <n v="4.5"/>
    <n v="68410"/>
    <x v="0"/>
    <n v="450.87"/>
    <n v="0"/>
    <n v="3.99"/>
    <n v="986"/>
    <x v="1"/>
    <n v="2889"/>
  </r>
  <r>
    <x v="6"/>
    <x v="827"/>
    <s v="Jesse Andrews"/>
    <x v="0"/>
    <x v="1"/>
    <n v="3.58"/>
    <n v="82270"/>
    <x v="2"/>
    <n v="1241.8699999999999"/>
    <n v="745.12199999999996"/>
    <n v="10.99"/>
    <n v="988"/>
    <x v="4"/>
    <n v="2889"/>
  </r>
  <r>
    <x v="10"/>
    <x v="828"/>
    <s v="Jeff Kinney"/>
    <x v="0"/>
    <x v="3"/>
    <n v="4.16"/>
    <n v="68701"/>
    <x v="2"/>
    <n v="111.87"/>
    <n v="67.122"/>
    <n v="0.99"/>
    <n v="990"/>
    <x v="1"/>
    <n v="2889"/>
  </r>
  <r>
    <x v="39"/>
    <x v="829"/>
    <s v="Janet Evanovich"/>
    <x v="1"/>
    <x v="3"/>
    <n v="4.34"/>
    <n v="63691"/>
    <x v="0"/>
    <n v="169.5"/>
    <n v="101.7"/>
    <n v="1.5"/>
    <n v="992"/>
    <x v="0"/>
    <n v="2889"/>
  </r>
  <r>
    <x v="31"/>
    <x v="830"/>
    <s v="Simon Winchester"/>
    <x v="1"/>
    <x v="1"/>
    <n v="3.84"/>
    <n v="71411"/>
    <x v="0"/>
    <n v="450.87"/>
    <n v="270.52199999999999"/>
    <n v="3.99"/>
    <n v="993"/>
    <x v="5"/>
    <n v="2862"/>
  </r>
  <r>
    <x v="39"/>
    <x v="831"/>
    <s v="James Patterson, Andrew Gross"/>
    <x v="1"/>
    <x v="3"/>
    <n v="4.01"/>
    <n v="68834"/>
    <x v="0"/>
    <n v="1388.77"/>
    <n v="833.26199999999994"/>
    <n v="12.29"/>
    <n v="993"/>
    <x v="0"/>
    <n v="2862"/>
  </r>
  <r>
    <x v="28"/>
    <x v="832"/>
    <s v="Art Spiegelman"/>
    <x v="3"/>
    <x v="2"/>
    <n v="4.53"/>
    <n v="76785"/>
    <x v="2"/>
    <n v="111.87"/>
    <n v="67.122"/>
    <n v="0.99"/>
    <n v="994"/>
    <x v="1"/>
    <n v="2862"/>
  </r>
  <r>
    <x v="61"/>
    <x v="833"/>
    <s v="Jasper Fforde"/>
    <x v="0"/>
    <x v="1"/>
    <n v="3.92"/>
    <n v="85683"/>
    <x v="2"/>
    <n v="111.87"/>
    <n v="67.122"/>
    <n v="0.99"/>
    <n v="995"/>
    <x v="1"/>
    <n v="2862"/>
  </r>
  <r>
    <x v="55"/>
    <x v="834"/>
    <s v="Faye Perozich, Anne Rice, John Bolton, Daerick GrÃ¶ss"/>
    <x v="3"/>
    <x v="3"/>
    <n v="4.17"/>
    <n v="61842"/>
    <x v="0"/>
    <n v="111.87"/>
    <n v="0"/>
    <n v="0.99"/>
    <n v="996"/>
    <x v="1"/>
    <n v="2862"/>
  </r>
  <r>
    <x v="98"/>
    <x v="835"/>
    <s v="Louis Sachar, Adam McCauley"/>
    <x v="1"/>
    <x v="3"/>
    <n v="4.1399999999999997"/>
    <n v="74121"/>
    <x v="0"/>
    <n v="864.45"/>
    <n v="518.66999999999996"/>
    <n v="7.65"/>
    <n v="997"/>
    <x v="3"/>
    <n v="2862"/>
  </r>
  <r>
    <x v="31"/>
    <x v="835"/>
    <s v="Dalai Lama XIV, Howard C. Cutler"/>
    <x v="1"/>
    <x v="3"/>
    <n v="4.1399999999999997"/>
    <n v="61498"/>
    <x v="2"/>
    <n v="1327.75"/>
    <n v="796.65"/>
    <n v="11.75"/>
    <n v="1000"/>
    <x v="4"/>
    <n v="2862"/>
  </r>
  <r>
    <x v="49"/>
    <x v="836"/>
    <s v="David Mitchell"/>
    <x v="1"/>
    <x v="1"/>
    <n v="3.81"/>
    <n v="53151"/>
    <x v="0"/>
    <n v="781.96"/>
    <n v="469.17599999999999"/>
    <n v="6.92"/>
    <n v="1001"/>
    <x v="4"/>
    <n v="2862"/>
  </r>
  <r>
    <x v="31"/>
    <x v="837"/>
    <s v="Anna Quindlen"/>
    <x v="1"/>
    <x v="1"/>
    <n v="3.86"/>
    <n v="67753"/>
    <x v="0"/>
    <n v="450.87"/>
    <n v="270.52199999999999"/>
    <n v="3.99"/>
    <n v="1001"/>
    <x v="1"/>
    <n v="2862"/>
  </r>
  <r>
    <x v="10"/>
    <x v="838"/>
    <s v="L.J. Smith, Kevin Williamson, Julie Plec"/>
    <x v="0"/>
    <x v="3"/>
    <n v="4.0999999999999996"/>
    <n v="59715"/>
    <x v="0"/>
    <n v="337.87"/>
    <n v="0"/>
    <n v="2.99"/>
    <n v="1004"/>
    <x v="1"/>
    <n v="2862"/>
  </r>
  <r>
    <x v="8"/>
    <x v="838"/>
    <s v="John Grisham"/>
    <x v="1"/>
    <x v="1"/>
    <n v="3.85"/>
    <n v="63114"/>
    <x v="2"/>
    <n v="970.67"/>
    <n v="582.40200000000004"/>
    <n v="8.59"/>
    <n v="1005"/>
    <x v="3"/>
    <n v="2862"/>
  </r>
  <r>
    <x v="26"/>
    <x v="839"/>
    <s v="Chuck Palahniuk"/>
    <x v="1"/>
    <x v="1"/>
    <n v="3.6"/>
    <n v="58428"/>
    <x v="0"/>
    <n v="1015.87"/>
    <n v="609.52200000000005"/>
    <n v="8.99"/>
    <n v="1006"/>
    <x v="2"/>
    <n v="2862"/>
  </r>
  <r>
    <x v="29"/>
    <x v="840"/>
    <s v="Janet Evanovich"/>
    <x v="0"/>
    <x v="3"/>
    <n v="4.1500000000000004"/>
    <n v="84363"/>
    <x v="0"/>
    <n v="846.37"/>
    <n v="507.822"/>
    <n v="7.49"/>
    <n v="1006"/>
    <x v="3"/>
    <n v="2862"/>
  </r>
  <r>
    <x v="29"/>
    <x v="841"/>
    <s v="Cornelia Funke, Anthea Bell"/>
    <x v="1"/>
    <x v="1"/>
    <n v="3.91"/>
    <n v="82291"/>
    <x v="0"/>
    <n v="789.87"/>
    <n v="473.92200000000003"/>
    <n v="6.99"/>
    <n v="1007"/>
    <x v="1"/>
    <n v="2862"/>
  </r>
  <r>
    <x v="26"/>
    <x v="842"/>
    <s v="Chuck Klosterman"/>
    <x v="0"/>
    <x v="1"/>
    <n v="3.75"/>
    <n v="56548"/>
    <x v="0"/>
    <n v="111.87"/>
    <n v="67.122"/>
    <n v="0.99"/>
    <n v="1007"/>
    <x v="1"/>
    <n v="2862"/>
  </r>
  <r>
    <x v="99"/>
    <x v="843"/>
    <s v="Evelyn Waugh"/>
    <x v="1"/>
    <x v="1"/>
    <n v="3.99"/>
    <n v="69087"/>
    <x v="2"/>
    <n v="224.87"/>
    <n v="134.922"/>
    <n v="1.99"/>
    <n v="1008"/>
    <x v="1"/>
    <n v="2862"/>
  </r>
  <r>
    <x v="27"/>
    <x v="844"/>
    <s v="Jim Butcher"/>
    <x v="0"/>
    <x v="2"/>
    <n v="4.41"/>
    <n v="73534"/>
    <x v="1"/>
    <n v="111.87"/>
    <n v="67.122"/>
    <n v="0.99"/>
    <n v="1009"/>
    <x v="1"/>
    <n v="2862"/>
  </r>
  <r>
    <x v="49"/>
    <x v="845"/>
    <s v="Jessie Burton"/>
    <x v="1"/>
    <x v="1"/>
    <n v="3.58"/>
    <n v="56344"/>
    <x v="0"/>
    <n v="224.87"/>
    <n v="134.922"/>
    <n v="1.99"/>
    <n v="1010"/>
    <x v="0"/>
    <n v="2862"/>
  </r>
  <r>
    <x v="71"/>
    <x v="846"/>
    <s v="Margaret Weis, Tracy Hickman"/>
    <x v="0"/>
    <x v="3"/>
    <n v="4.03"/>
    <n v="76219"/>
    <x v="2"/>
    <n v="992.14"/>
    <n v="595.28399999999999"/>
    <n v="8.7799999999999994"/>
    <n v="1011"/>
    <x v="5"/>
    <n v="2862"/>
  </r>
  <r>
    <x v="15"/>
    <x v="847"/>
    <s v="Eoin Colfer"/>
    <x v="0"/>
    <x v="3"/>
    <n v="4.01"/>
    <n v="103844"/>
    <x v="2"/>
    <n v="282.5"/>
    <n v="169.5"/>
    <n v="2.5"/>
    <n v="1012"/>
    <x v="1"/>
    <n v="2862"/>
  </r>
  <r>
    <x v="15"/>
    <x v="848"/>
    <s v="Scott Westerfeld"/>
    <x v="0"/>
    <x v="1"/>
    <n v="3.59"/>
    <n v="85873"/>
    <x v="0"/>
    <n v="110.88"/>
    <n v="66.528000000000006"/>
    <n v="0.99"/>
    <n v="1013"/>
    <x v="1"/>
    <n v="2862"/>
  </r>
  <r>
    <x v="29"/>
    <x v="849"/>
    <s v="John Flanagan"/>
    <x v="0"/>
    <x v="3"/>
    <n v="4.28"/>
    <n v="74156"/>
    <x v="2"/>
    <n v="838.88"/>
    <n v="503.32799999999997"/>
    <n v="7.49"/>
    <n v="1015"/>
    <x v="6"/>
    <n v="2862"/>
  </r>
  <r>
    <x v="49"/>
    <x v="850"/>
    <s v="Deborah Harkness"/>
    <x v="1"/>
    <x v="3"/>
    <n v="4.1500000000000004"/>
    <n v="63027"/>
    <x v="0"/>
    <n v="334.88"/>
    <n v="0"/>
    <n v="2.99"/>
    <n v="1019"/>
    <x v="1"/>
    <n v="2862"/>
  </r>
  <r>
    <x v="76"/>
    <x v="851"/>
    <s v="Julia Cameron"/>
    <x v="1"/>
    <x v="1"/>
    <n v="3.89"/>
    <n v="66049"/>
    <x v="0"/>
    <n v="670.88"/>
    <n v="0"/>
    <n v="5.99"/>
    <n v="1020"/>
    <x v="1"/>
    <n v="4480"/>
  </r>
  <r>
    <x v="76"/>
    <x v="852"/>
    <s v="Jon Scieszka, Lane Smith"/>
    <x v="1"/>
    <x v="3"/>
    <n v="4.2"/>
    <n v="78487"/>
    <x v="2"/>
    <n v="334.88"/>
    <n v="200.928"/>
    <n v="2.99"/>
    <n v="1020"/>
    <x v="1"/>
    <n v="4480"/>
  </r>
  <r>
    <x v="38"/>
    <x v="853"/>
    <s v="Joe Hill"/>
    <x v="0"/>
    <x v="1"/>
    <n v="3.92"/>
    <n v="66287"/>
    <x v="2"/>
    <n v="334.88"/>
    <n v="200.928"/>
    <n v="2.99"/>
    <n v="1022"/>
    <x v="2"/>
    <n v="4480"/>
  </r>
  <r>
    <x v="4"/>
    <x v="854"/>
    <s v="Robert K. Massie"/>
    <x v="5"/>
    <x v="1"/>
    <n v="3.91"/>
    <n v="66591"/>
    <x v="0"/>
    <n v="110.88"/>
    <n v="0"/>
    <n v="0.99"/>
    <n v="1023"/>
    <x v="1"/>
    <n v="4480"/>
  </r>
  <r>
    <x v="38"/>
    <x v="855"/>
    <s v="Margaret Atwood"/>
    <x v="1"/>
    <x v="3"/>
    <n v="4.05"/>
    <n v="68597"/>
    <x v="0"/>
    <n v="894.88"/>
    <n v="536.928"/>
    <n v="7.99"/>
    <n v="1024"/>
    <x v="5"/>
    <n v="4480"/>
  </r>
  <r>
    <x v="38"/>
    <x v="856"/>
    <s v="Kristin Hannah"/>
    <x v="3"/>
    <x v="3"/>
    <n v="4.13"/>
    <n v="66577"/>
    <x v="0"/>
    <n v="334.88"/>
    <n v="0"/>
    <n v="2.99"/>
    <n v="1027"/>
    <x v="1"/>
    <n v="4480"/>
  </r>
  <r>
    <x v="26"/>
    <x v="857"/>
    <s v="John Grisham"/>
    <x v="1"/>
    <x v="1"/>
    <n v="3.67"/>
    <n v="61835"/>
    <x v="2"/>
    <n v="670.88"/>
    <n v="402.52800000000002"/>
    <n v="5.99"/>
    <n v="1027"/>
    <x v="0"/>
    <n v="4480"/>
  </r>
  <r>
    <x v="15"/>
    <x v="858"/>
    <s v="Marcus Luttrell, Patrick Robinson"/>
    <x v="1"/>
    <x v="3"/>
    <n v="4.34"/>
    <n v="46551"/>
    <x v="0"/>
    <n v="446.88"/>
    <n v="0"/>
    <n v="3.99"/>
    <n v="1030"/>
    <x v="1"/>
    <n v="4440"/>
  </r>
  <r>
    <x v="3"/>
    <x v="859"/>
    <s v="Chetan Bhagat"/>
    <x v="1"/>
    <x v="1"/>
    <n v="2.97"/>
    <n v="53331"/>
    <x v="0"/>
    <n v="894.88"/>
    <n v="536.928"/>
    <n v="7.99"/>
    <n v="1032"/>
    <x v="4"/>
    <n v="4440"/>
  </r>
  <r>
    <x v="137"/>
    <x v="860"/>
    <s v="Agatha Christie"/>
    <x v="1"/>
    <x v="3"/>
    <n v="4.2"/>
    <n v="71354"/>
    <x v="2"/>
    <n v="842.24"/>
    <n v="505.34399999999999"/>
    <n v="7.52"/>
    <n v="1032"/>
    <x v="1"/>
    <n v="4440"/>
  </r>
  <r>
    <x v="136"/>
    <x v="861"/>
    <s v="Richard Wright"/>
    <x v="1"/>
    <x v="1"/>
    <n v="3.96"/>
    <n v="66194"/>
    <x v="0"/>
    <n v="334.88"/>
    <n v="0"/>
    <n v="2.99"/>
    <n v="1033"/>
    <x v="1"/>
    <n v="4440"/>
  </r>
  <r>
    <x v="3"/>
    <x v="862"/>
    <s v="Brent Weeks"/>
    <x v="0"/>
    <x v="3"/>
    <n v="4.2699999999999996"/>
    <n v="66390"/>
    <x v="0"/>
    <n v="1326.08"/>
    <n v="795.64800000000002"/>
    <n v="11.84"/>
    <n v="1033"/>
    <x v="4"/>
    <n v="4440"/>
  </r>
  <r>
    <x v="4"/>
    <x v="863"/>
    <s v="Veronica Rossi"/>
    <x v="3"/>
    <x v="3"/>
    <n v="4.01"/>
    <n v="74029"/>
    <x v="0"/>
    <n v="446.88"/>
    <n v="0"/>
    <n v="3.99"/>
    <n v="1034"/>
    <x v="1"/>
    <n v="4440"/>
  </r>
  <r>
    <x v="26"/>
    <x v="864"/>
    <s v="Nicholas Sparks"/>
    <x v="0"/>
    <x v="1"/>
    <n v="3.8"/>
    <n v="62840"/>
    <x v="0"/>
    <n v="558.88"/>
    <n v="0"/>
    <n v="4.99"/>
    <n v="1035"/>
    <x v="1"/>
    <n v="4440"/>
  </r>
  <r>
    <x v="4"/>
    <x v="865"/>
    <s v="Eric Ries"/>
    <x v="0"/>
    <x v="3"/>
    <n v="4.04"/>
    <n v="86284"/>
    <x v="0"/>
    <n v="110.88"/>
    <n v="66.528000000000006"/>
    <n v="0.99"/>
    <n v="1036"/>
    <x v="1"/>
    <n v="4440"/>
  </r>
  <r>
    <x v="6"/>
    <x v="866"/>
    <s v="Richelle Mead"/>
    <x v="0"/>
    <x v="3"/>
    <n v="4.3600000000000003"/>
    <n v="86929"/>
    <x v="0"/>
    <n v="1230.8800000000001"/>
    <n v="738.52800000000002"/>
    <n v="10.99"/>
    <n v="1037"/>
    <x v="3"/>
    <n v="4440"/>
  </r>
  <r>
    <x v="3"/>
    <x v="867"/>
    <s v="Lauren Weisberger"/>
    <x v="1"/>
    <x v="0"/>
    <n v="3.32"/>
    <n v="63342"/>
    <x v="0"/>
    <n v="558.88"/>
    <n v="335.32799999999997"/>
    <n v="4.99"/>
    <n v="1042"/>
    <x v="4"/>
    <n v="4440"/>
  </r>
  <r>
    <x v="34"/>
    <x v="868"/>
    <s v="David Eddings"/>
    <x v="1"/>
    <x v="3"/>
    <n v="4.13"/>
    <n v="69616"/>
    <x v="0"/>
    <n v="334.88"/>
    <n v="0"/>
    <n v="2.99"/>
    <n v="1042"/>
    <x v="1"/>
    <n v="4440"/>
  </r>
  <r>
    <x v="38"/>
    <x v="869"/>
    <s v="Roberto Aguirre-Sacasa, Stephen King, Mike Perkins, Laura       Martin"/>
    <x v="1"/>
    <x v="2"/>
    <n v="4.43"/>
    <n v="57279"/>
    <x v="0"/>
    <n v="838.88"/>
    <n v="503.32799999999997"/>
    <n v="7.49"/>
    <n v="1043"/>
    <x v="3"/>
    <n v="4440"/>
  </r>
  <r>
    <x v="35"/>
    <x v="869"/>
    <s v="William L. Shirer"/>
    <x v="1"/>
    <x v="3"/>
    <n v="4.1500000000000004"/>
    <n v="64391"/>
    <x v="0"/>
    <n v="334.88"/>
    <n v="200.928"/>
    <n v="2.99"/>
    <n v="1044"/>
    <x v="0"/>
    <n v="4440"/>
  </r>
  <r>
    <x v="29"/>
    <x v="870"/>
    <s v="Nick Hornby"/>
    <x v="1"/>
    <x v="0"/>
    <n v="3.41"/>
    <n v="59843"/>
    <x v="2"/>
    <n v="446.88"/>
    <n v="268.12799999999999"/>
    <n v="3.99"/>
    <n v="1046"/>
    <x v="2"/>
    <n v="4440"/>
  </r>
  <r>
    <x v="20"/>
    <x v="871"/>
    <s v="Jeff Smith, Steve Hamaker"/>
    <x v="1"/>
    <x v="3"/>
    <n v="4.16"/>
    <n v="62330"/>
    <x v="0"/>
    <n v="670.88"/>
    <n v="0"/>
    <n v="5.99"/>
    <n v="1048"/>
    <x v="1"/>
    <n v="4400"/>
  </r>
  <r>
    <x v="30"/>
    <x v="872"/>
    <s v="Stephen King"/>
    <x v="1"/>
    <x v="1"/>
    <n v="3.66"/>
    <n v="70921"/>
    <x v="0"/>
    <n v="222.88"/>
    <n v="133.72800000000001"/>
    <n v="1.99"/>
    <n v="1049"/>
    <x v="5"/>
    <n v="4400"/>
  </r>
  <r>
    <x v="31"/>
    <x v="873"/>
    <s v="Lee Child"/>
    <x v="0"/>
    <x v="1"/>
    <n v="4"/>
    <n v="62128"/>
    <x v="0"/>
    <n v="334.88"/>
    <n v="200.928"/>
    <n v="2.99"/>
    <n v="1050"/>
    <x v="6"/>
    <n v="4400"/>
  </r>
  <r>
    <x v="4"/>
    <x v="874"/>
    <s v="Kami Garcia, Margaret Stohl, Paz Pruneda"/>
    <x v="0"/>
    <x v="1"/>
    <n v="3.95"/>
    <n v="69709"/>
    <x v="0"/>
    <n v="222.88"/>
    <n v="133.72800000000001"/>
    <n v="1.99"/>
    <n v="1050"/>
    <x v="2"/>
    <n v="4400"/>
  </r>
  <r>
    <x v="32"/>
    <x v="875"/>
    <s v="Jodi Picoult"/>
    <x v="0"/>
    <x v="1"/>
    <n v="3.79"/>
    <n v="62405"/>
    <x v="0"/>
    <n v="109.89"/>
    <n v="0"/>
    <n v="0.99"/>
    <n v="1052"/>
    <x v="1"/>
    <n v="4400"/>
  </r>
  <r>
    <x v="27"/>
    <x v="876"/>
    <s v="Joe Hill"/>
    <x v="0"/>
    <x v="1"/>
    <n v="3.82"/>
    <n v="65005"/>
    <x v="0"/>
    <n v="331.89"/>
    <n v="0"/>
    <n v="2.99"/>
    <n v="1052"/>
    <x v="1"/>
    <n v="4400"/>
  </r>
  <r>
    <x v="10"/>
    <x v="877"/>
    <s v="Jeff Kinney"/>
    <x v="1"/>
    <x v="3"/>
    <n v="4.21"/>
    <n v="63347"/>
    <x v="2"/>
    <n v="1330.89"/>
    <n v="798.53399999999999"/>
    <n v="11.99"/>
    <n v="1053"/>
    <x v="3"/>
    <n v="4400"/>
  </r>
  <r>
    <x v="3"/>
    <x v="878"/>
    <s v="Brent Weeks"/>
    <x v="1"/>
    <x v="3"/>
    <n v="4.29"/>
    <n v="64961"/>
    <x v="1"/>
    <n v="442.89"/>
    <n v="0"/>
    <n v="3.99"/>
    <n v="1054"/>
    <x v="1"/>
    <n v="4400"/>
  </r>
  <r>
    <x v="29"/>
    <x v="878"/>
    <s v="Lauren Weisberger"/>
    <x v="0"/>
    <x v="0"/>
    <n v="3.39"/>
    <n v="59932"/>
    <x v="0"/>
    <n v="109.89"/>
    <n v="0"/>
    <n v="0.99"/>
    <n v="1055"/>
    <x v="1"/>
    <n v="4400"/>
  </r>
  <r>
    <x v="28"/>
    <x v="879"/>
    <s v="Brian Jacques"/>
    <x v="1"/>
    <x v="3"/>
    <n v="4.1100000000000003"/>
    <n v="73918"/>
    <x v="0"/>
    <n v="331.89"/>
    <n v="0"/>
    <n v="2.99"/>
    <n v="1056"/>
    <x v="1"/>
    <n v="4400"/>
  </r>
  <r>
    <x v="138"/>
    <x v="880"/>
    <s v="Karl Marx, Friedrich Engels, Gareth Stedman Jones"/>
    <x v="1"/>
    <x v="1"/>
    <n v="3.51"/>
    <n v="56464"/>
    <x v="0"/>
    <n v="331.89"/>
    <n v="0"/>
    <n v="2.99"/>
    <n v="1057"/>
    <x v="1"/>
    <n v="4400"/>
  </r>
  <r>
    <x v="95"/>
    <x v="881"/>
    <s v="Ruth Ware"/>
    <x v="1"/>
    <x v="1"/>
    <n v="3.67"/>
    <n v="90541"/>
    <x v="2"/>
    <n v="109.89"/>
    <n v="65.933999999999997"/>
    <n v="0.99"/>
    <n v="1058"/>
    <x v="1"/>
    <n v="4400"/>
  </r>
  <r>
    <x v="139"/>
    <x v="882"/>
    <s v="James Fenimore Cooper"/>
    <x v="1"/>
    <x v="1"/>
    <n v="3.69"/>
    <n v="67632"/>
    <x v="0"/>
    <n v="109.89"/>
    <n v="0"/>
    <n v="0.99"/>
    <n v="1058"/>
    <x v="1"/>
    <n v="4400"/>
  </r>
  <r>
    <x v="64"/>
    <x v="883"/>
    <s v="William Styron"/>
    <x v="1"/>
    <x v="3"/>
    <n v="4.18"/>
    <n v="66923"/>
    <x v="2"/>
    <n v="220.89"/>
    <n v="132.53399999999999"/>
    <n v="1.99"/>
    <n v="1059"/>
    <x v="1"/>
    <n v="4400"/>
  </r>
  <r>
    <x v="8"/>
    <x v="884"/>
    <s v="Sophie Kinsella"/>
    <x v="1"/>
    <x v="1"/>
    <n v="3.64"/>
    <n v="69007"/>
    <x v="0"/>
    <n v="331.89"/>
    <n v="0"/>
    <n v="2.99"/>
    <n v="1059"/>
    <x v="1"/>
    <n v="4400"/>
  </r>
  <r>
    <x v="10"/>
    <x v="885"/>
    <s v="Julie Kagawa"/>
    <x v="1"/>
    <x v="3"/>
    <n v="4.13"/>
    <n v="93340"/>
    <x v="0"/>
    <n v="331.89"/>
    <n v="0"/>
    <n v="2.99"/>
    <n v="1060"/>
    <x v="1"/>
    <n v="4400"/>
  </r>
  <r>
    <x v="18"/>
    <x v="886"/>
    <s v="Bruce H. Wilkinson"/>
    <x v="1"/>
    <x v="1"/>
    <n v="3.92"/>
    <n v="57468"/>
    <x v="2"/>
    <n v="899.1"/>
    <n v="539.46"/>
    <n v="8.1"/>
    <n v="1061"/>
    <x v="1"/>
    <n v="4400"/>
  </r>
  <r>
    <x v="6"/>
    <x v="887"/>
    <s v="Karen Thompson Walker"/>
    <x v="1"/>
    <x v="1"/>
    <n v="3.64"/>
    <n v="61296"/>
    <x v="0"/>
    <n v="1314.24"/>
    <n v="788.54399999999998"/>
    <n v="11.84"/>
    <n v="1062"/>
    <x v="4"/>
    <n v="4400"/>
  </r>
  <r>
    <x v="38"/>
    <x v="888"/>
    <s v="Mitch Albom"/>
    <x v="0"/>
    <x v="3"/>
    <n v="4.16"/>
    <n v="60002"/>
    <x v="2"/>
    <n v="220.89"/>
    <n v="132.53399999999999"/>
    <n v="1.99"/>
    <n v="1066"/>
    <x v="2"/>
    <n v="4400"/>
  </r>
  <r>
    <x v="15"/>
    <x v="889"/>
    <s v="Julia Child, Alex Prud'Homme"/>
    <x v="1"/>
    <x v="3"/>
    <n v="4.16"/>
    <n v="63100"/>
    <x v="0"/>
    <n v="1330.89"/>
    <n v="798.53399999999999"/>
    <n v="11.99"/>
    <n v="1066"/>
    <x v="3"/>
    <n v="4400"/>
  </r>
  <r>
    <x v="49"/>
    <x v="890"/>
    <s v="Graeme Simsion"/>
    <x v="1"/>
    <x v="1"/>
    <n v="3.56"/>
    <n v="27308"/>
    <x v="0"/>
    <n v="1225.44"/>
    <n v="735.26400000000001"/>
    <n v="11.04"/>
    <n v="1068"/>
    <x v="6"/>
    <n v="4360"/>
  </r>
  <r>
    <x v="4"/>
    <x v="891"/>
    <s v="Amish Tripathi"/>
    <x v="1"/>
    <x v="1"/>
    <n v="3.98"/>
    <n v="50158"/>
    <x v="0"/>
    <n v="109.89"/>
    <n v="65.933999999999997"/>
    <n v="0.99"/>
    <n v="1069"/>
    <x v="1"/>
    <n v="4360"/>
  </r>
  <r>
    <x v="53"/>
    <x v="892"/>
    <s v="Charles Bukowski"/>
    <x v="0"/>
    <x v="3"/>
    <n v="4.16"/>
    <n v="54140"/>
    <x v="0"/>
    <n v="196.47"/>
    <n v="0"/>
    <n v="1.77"/>
    <n v="1071"/>
    <x v="1"/>
    <n v="4360"/>
  </r>
  <r>
    <x v="61"/>
    <x v="893"/>
    <s v="Wendelin Van Draanen"/>
    <x v="0"/>
    <x v="1"/>
    <n v="3.94"/>
    <n v="79264"/>
    <x v="2"/>
    <n v="109.89"/>
    <n v="0"/>
    <n v="0.99"/>
    <n v="1072"/>
    <x v="1"/>
    <n v="4360"/>
  </r>
  <r>
    <x v="26"/>
    <x v="894"/>
    <s v="Travis Bradberry, Jean Greaves, Patrick Lencioni"/>
    <x v="1"/>
    <x v="1"/>
    <n v="3.81"/>
    <n v="53384"/>
    <x v="0"/>
    <n v="109.89"/>
    <n v="0"/>
    <n v="0.99"/>
    <n v="1073"/>
    <x v="1"/>
    <n v="4360"/>
  </r>
  <r>
    <x v="100"/>
    <x v="895"/>
    <s v="Robert McCloskey"/>
    <x v="1"/>
    <x v="3"/>
    <n v="4.21"/>
    <n v="70704"/>
    <x v="2"/>
    <n v="637.14"/>
    <n v="382.28399999999999"/>
    <n v="5.74"/>
    <n v="1074"/>
    <x v="0"/>
    <n v="4360"/>
  </r>
  <r>
    <x v="30"/>
    <x v="896"/>
    <s v="Douglas Preston, Lincoln Child"/>
    <x v="1"/>
    <x v="3"/>
    <n v="4.01"/>
    <n v="68011"/>
    <x v="0"/>
    <n v="858.03"/>
    <n v="514.81799999999998"/>
    <n v="7.73"/>
    <n v="1075"/>
    <x v="2"/>
    <n v="4360"/>
  </r>
  <r>
    <x v="30"/>
    <x v="897"/>
    <s v="Bill Bryson"/>
    <x v="1"/>
    <x v="1"/>
    <n v="3.91"/>
    <n v="66947"/>
    <x v="0"/>
    <n v="442.89"/>
    <n v="0"/>
    <n v="3.99"/>
    <n v="1076"/>
    <x v="1"/>
    <n v="4360"/>
  </r>
  <r>
    <x v="3"/>
    <x v="898"/>
    <s v="Jim Butcher"/>
    <x v="0"/>
    <x v="2"/>
    <n v="4.43"/>
    <n v="70029"/>
    <x v="2"/>
    <n v="1219.8900000000001"/>
    <n v="731.93399999999997"/>
    <n v="10.99"/>
    <n v="1077"/>
    <x v="4"/>
    <n v="4360"/>
  </r>
  <r>
    <x v="38"/>
    <x v="899"/>
    <s v="Robert Kirkman"/>
    <x v="1"/>
    <x v="2"/>
    <n v="4.43"/>
    <n v="57764"/>
    <x v="0"/>
    <n v="331.89"/>
    <n v="0"/>
    <n v="2.99"/>
    <n v="1078"/>
    <x v="1"/>
    <n v="4360"/>
  </r>
  <r>
    <x v="29"/>
    <x v="900"/>
    <s v="Shannon Hale"/>
    <x v="1"/>
    <x v="3"/>
    <n v="4.01"/>
    <n v="82470"/>
    <x v="0"/>
    <n v="1414.14"/>
    <n v="848.48400000000004"/>
    <n v="12.74"/>
    <n v="1080"/>
    <x v="5"/>
    <n v="4360"/>
  </r>
  <r>
    <x v="2"/>
    <x v="901"/>
    <s v="Nicola Yoon, David Yoon"/>
    <x v="1"/>
    <x v="3"/>
    <n v="4.1100000000000003"/>
    <n v="132552"/>
    <x v="0"/>
    <n v="331.89"/>
    <n v="0"/>
    <n v="2.99"/>
    <n v="1081"/>
    <x v="1"/>
    <n v="4360"/>
  </r>
  <r>
    <x v="140"/>
    <x v="902"/>
    <s v="George Bernard Shaw"/>
    <x v="0"/>
    <x v="1"/>
    <n v="3.9"/>
    <n v="70079"/>
    <x v="0"/>
    <n v="331.89"/>
    <n v="0"/>
    <n v="2.99"/>
    <n v="1082"/>
    <x v="1"/>
    <n v="4360"/>
  </r>
  <r>
    <x v="6"/>
    <x v="903"/>
    <s v="Barbara Kingsolver"/>
    <x v="1"/>
    <x v="1"/>
    <n v="3.75"/>
    <n v="57078"/>
    <x v="0"/>
    <n v="109.89"/>
    <n v="65.933999999999997"/>
    <n v="0.99"/>
    <n v="1085"/>
    <x v="1"/>
    <n v="4360"/>
  </r>
  <r>
    <x v="3"/>
    <x v="904"/>
    <s v="Brandon Mull"/>
    <x v="1"/>
    <x v="3"/>
    <n v="4.26"/>
    <n v="65638"/>
    <x v="0"/>
    <n v="548.9"/>
    <n v="0"/>
    <n v="4.99"/>
    <n v="1089"/>
    <x v="1"/>
    <n v="4360"/>
  </r>
  <r>
    <x v="32"/>
    <x v="905"/>
    <s v="Helen Fielding"/>
    <x v="1"/>
    <x v="1"/>
    <n v="3.53"/>
    <n v="73093"/>
    <x v="2"/>
    <n v="1098.9000000000001"/>
    <n v="659.34"/>
    <n v="9.99"/>
    <n v="1090"/>
    <x v="1"/>
    <n v="4360"/>
  </r>
  <r>
    <x v="5"/>
    <x v="906"/>
    <s v="Louis de BerniÃ¨res"/>
    <x v="1"/>
    <x v="1"/>
    <n v="3.95"/>
    <n v="57583"/>
    <x v="0"/>
    <n v="108.9"/>
    <n v="65.34"/>
    <n v="0.99"/>
    <n v="1091"/>
    <x v="1"/>
    <n v="4360"/>
  </r>
  <r>
    <x v="8"/>
    <x v="907"/>
    <s v="Nicholas Sparks"/>
    <x v="0"/>
    <x v="1"/>
    <n v="3.81"/>
    <n v="62219"/>
    <x v="0"/>
    <n v="108.9"/>
    <n v="65.34"/>
    <n v="0.99"/>
    <n v="1091"/>
    <x v="1"/>
    <n v="4320"/>
  </r>
  <r>
    <x v="18"/>
    <x v="908"/>
    <s v="Bill Bryson"/>
    <x v="1"/>
    <x v="3"/>
    <n v="4.05"/>
    <n v="58688"/>
    <x v="0"/>
    <n v="438.9"/>
    <n v="0"/>
    <n v="3.99"/>
    <n v="1093"/>
    <x v="1"/>
    <n v="4320"/>
  </r>
  <r>
    <x v="83"/>
    <x v="909"/>
    <s v="Arthur Conan Doyle"/>
    <x v="1"/>
    <x v="3"/>
    <n v="4.32"/>
    <n v="56918"/>
    <x v="2"/>
    <n v="1230.9000000000001"/>
    <n v="738.54"/>
    <n v="11.19"/>
    <n v="1095"/>
    <x v="0"/>
    <n v="4320"/>
  </r>
  <r>
    <x v="6"/>
    <x v="910"/>
    <s v="Adam Johnson"/>
    <x v="1"/>
    <x v="3"/>
    <n v="4.0599999999999996"/>
    <n v="52765"/>
    <x v="0"/>
    <n v="108.9"/>
    <n v="65.34"/>
    <n v="0.99"/>
    <n v="1097"/>
    <x v="6"/>
    <n v="4320"/>
  </r>
  <r>
    <x v="71"/>
    <x v="911"/>
    <s v="David Eddings"/>
    <x v="0"/>
    <x v="3"/>
    <n v="4.17"/>
    <n v="69134"/>
    <x v="0"/>
    <n v="438.9"/>
    <n v="0"/>
    <n v="3.99"/>
    <n v="1098"/>
    <x v="1"/>
    <n v="4320"/>
  </r>
  <r>
    <x v="26"/>
    <x v="291"/>
    <s v="Marjane Satrapi, Mattias Ripa, Blake Ferris, Anjali Singh"/>
    <x v="0"/>
    <x v="3"/>
    <n v="4.3600000000000003"/>
    <n v="71353"/>
    <x v="2"/>
    <n v="108.9"/>
    <n v="0"/>
    <n v="0.99"/>
    <n v="1099"/>
    <x v="1"/>
    <n v="4320"/>
  </r>
  <r>
    <x v="41"/>
    <x v="912"/>
    <s v="Chaim Potok"/>
    <x v="1"/>
    <x v="3"/>
    <n v="4.03"/>
    <n v="70701"/>
    <x v="1"/>
    <n v="218.9"/>
    <n v="131.34"/>
    <n v="1.99"/>
    <n v="1099"/>
    <x v="1"/>
    <n v="4320"/>
  </r>
  <r>
    <x v="63"/>
    <x v="913"/>
    <s v="Irving Stone, ×©×ž×•××œ ×©× ×™×¦×¨"/>
    <x v="1"/>
    <x v="3"/>
    <n v="4.09"/>
    <n v="61256"/>
    <x v="0"/>
    <n v="438.9"/>
    <n v="0"/>
    <n v="3.99"/>
    <n v="1100"/>
    <x v="1"/>
    <n v="4320"/>
  </r>
  <r>
    <x v="3"/>
    <x v="914"/>
    <s v="Carlos Ruiz ZafÃ³n, Lucia Graves"/>
    <x v="1"/>
    <x v="1"/>
    <n v="3.86"/>
    <n v="46225"/>
    <x v="0"/>
    <n v="1351.9"/>
    <n v="811.14"/>
    <n v="12.29"/>
    <n v="1101"/>
    <x v="0"/>
    <n v="4320"/>
  </r>
  <r>
    <x v="8"/>
    <x v="915"/>
    <s v="Cecelia Ahern"/>
    <x v="0"/>
    <x v="1"/>
    <n v="3.95"/>
    <n v="55236"/>
    <x v="2"/>
    <n v="1208.9000000000001"/>
    <n v="725.34"/>
    <n v="10.99"/>
    <n v="1101"/>
    <x v="4"/>
    <n v="4320"/>
  </r>
  <r>
    <x v="141"/>
    <x v="916"/>
    <s v="Peggy Parish, Fritz Siebel"/>
    <x v="1"/>
    <x v="3"/>
    <n v="4.1500000000000004"/>
    <n v="72329"/>
    <x v="0"/>
    <n v="878.9"/>
    <n v="527.34"/>
    <n v="7.99"/>
    <n v="1102"/>
    <x v="3"/>
    <n v="4320"/>
  </r>
  <r>
    <x v="6"/>
    <x v="917"/>
    <s v="Jodi Ellen Malpas"/>
    <x v="1"/>
    <x v="3"/>
    <n v="4.13"/>
    <n v="79461"/>
    <x v="0"/>
    <n v="108.9"/>
    <n v="65.34"/>
    <n v="0.99"/>
    <n v="1102"/>
    <x v="1"/>
    <n v="4320"/>
  </r>
  <r>
    <x v="10"/>
    <x v="918"/>
    <s v="W. Bruce Cameron"/>
    <x v="0"/>
    <x v="3"/>
    <n v="4.3499999999999996"/>
    <n v="65091"/>
    <x v="0"/>
    <n v="328.9"/>
    <n v="0"/>
    <n v="2.99"/>
    <n v="1105"/>
    <x v="1"/>
    <n v="4320"/>
  </r>
  <r>
    <x v="2"/>
    <x v="919"/>
    <s v="Sabaa Tahir"/>
    <x v="1"/>
    <x v="3"/>
    <n v="4.32"/>
    <n v="45492"/>
    <x v="0"/>
    <n v="603.9"/>
    <n v="362.34"/>
    <n v="5.49"/>
    <n v="1106"/>
    <x v="0"/>
    <n v="4320"/>
  </r>
  <r>
    <x v="3"/>
    <x v="920"/>
    <s v="J.R. Ward"/>
    <x v="1"/>
    <x v="3"/>
    <n v="4.12"/>
    <n v="87432"/>
    <x v="0"/>
    <n v="988.9"/>
    <n v="593.34"/>
    <n v="8.99"/>
    <n v="1106"/>
    <x v="4"/>
    <n v="4320"/>
  </r>
  <r>
    <x v="17"/>
    <x v="921"/>
    <s v="Helene Wecker"/>
    <x v="1"/>
    <x v="3"/>
    <n v="4.0999999999999996"/>
    <n v="59650"/>
    <x v="0"/>
    <n v="438.9"/>
    <n v="0"/>
    <n v="3.99"/>
    <n v="1107"/>
    <x v="1"/>
    <n v="4320"/>
  </r>
  <r>
    <x v="6"/>
    <x v="922"/>
    <s v="Ø£Ø­Ù„Ø§Ù… Ù…Ø³ØªØºØ§Ù†Ù…ÙŠ, Ahlam Mosteghanemi"/>
    <x v="7"/>
    <x v="1"/>
    <n v="3.72"/>
    <n v="42958"/>
    <x v="2"/>
    <n v="1200.0999999999999"/>
    <n v="720.06"/>
    <n v="10.91"/>
    <n v="1107"/>
    <x v="5"/>
    <n v="4320"/>
  </r>
  <r>
    <x v="26"/>
    <x v="923"/>
    <s v="Lemony Snicket, Brett Helquist"/>
    <x v="0"/>
    <x v="1"/>
    <n v="4"/>
    <n v="81362"/>
    <x v="0"/>
    <n v="988.9"/>
    <n v="593.34"/>
    <n v="8.99"/>
    <n v="1111"/>
    <x v="3"/>
    <n v="4320"/>
  </r>
  <r>
    <x v="142"/>
    <x v="924"/>
    <s v="Charles Dickens, Nicola Bradbury, Hablot Knight Browne"/>
    <x v="1"/>
    <x v="1"/>
    <n v="4"/>
    <n v="67433"/>
    <x v="0"/>
    <n v="988.9"/>
    <n v="593.34"/>
    <n v="8.99"/>
    <n v="1112"/>
    <x v="0"/>
    <n v="4320"/>
  </r>
  <r>
    <x v="105"/>
    <x v="925"/>
    <s v="Esphyr Slobodkina"/>
    <x v="1"/>
    <x v="3"/>
    <n v="4.12"/>
    <n v="72504"/>
    <x v="0"/>
    <n v="548.9"/>
    <n v="329.34"/>
    <n v="4.99"/>
    <n v="1118"/>
    <x v="1"/>
    <n v="4280"/>
  </r>
  <r>
    <x v="8"/>
    <x v="926"/>
    <s v="Jim Butcher"/>
    <x v="1"/>
    <x v="3"/>
    <n v="4.12"/>
    <n v="70269"/>
    <x v="0"/>
    <n v="108.9"/>
    <n v="0"/>
    <n v="0.99"/>
    <n v="1119"/>
    <x v="1"/>
    <n v="4280"/>
  </r>
  <r>
    <x v="34"/>
    <x v="927"/>
    <s v="Tamora Pierce"/>
    <x v="0"/>
    <x v="3"/>
    <n v="4.2699999999999996"/>
    <n v="85699"/>
    <x v="0"/>
    <n v="1867.8"/>
    <n v="1120.68"/>
    <n v="16.98"/>
    <n v="1119"/>
    <x v="3"/>
    <n v="4280"/>
  </r>
  <r>
    <x v="38"/>
    <x v="928"/>
    <s v="Audrey Niffenegger"/>
    <x v="3"/>
    <x v="0"/>
    <n v="3.23"/>
    <n v="63737"/>
    <x v="2"/>
    <n v="416.9"/>
    <n v="250.14"/>
    <n v="3.79"/>
    <n v="1120"/>
    <x v="0"/>
    <n v="4280"/>
  </r>
  <r>
    <x v="49"/>
    <x v="929"/>
    <s v="Anita Diamant"/>
    <x v="1"/>
    <x v="1"/>
    <n v="3.79"/>
    <n v="51603"/>
    <x v="0"/>
    <n v="548.9"/>
    <n v="0"/>
    <n v="4.99"/>
    <n v="1120"/>
    <x v="1"/>
    <n v="4280"/>
  </r>
  <r>
    <x v="38"/>
    <x v="930"/>
    <s v="J.R. Ward"/>
    <x v="1"/>
    <x v="3"/>
    <n v="4.38"/>
    <n v="84650"/>
    <x v="3"/>
    <n v="493.9"/>
    <n v="296.33999999999997"/>
    <n v="4.49"/>
    <n v="1123"/>
    <x v="6"/>
    <n v="4280"/>
  </r>
  <r>
    <x v="96"/>
    <x v="931"/>
    <s v="Dan Simmons"/>
    <x v="1"/>
    <x v="3"/>
    <n v="4.18"/>
    <n v="63235"/>
    <x v="2"/>
    <n v="641.29999999999995"/>
    <n v="384.78"/>
    <n v="5.83"/>
    <n v="1124"/>
    <x v="5"/>
    <n v="4280"/>
  </r>
  <r>
    <x v="1"/>
    <x v="932"/>
    <s v="James Ellroy"/>
    <x v="0"/>
    <x v="1"/>
    <n v="3.75"/>
    <n v="61412"/>
    <x v="0"/>
    <n v="1088.9100000000001"/>
    <n v="653.346"/>
    <n v="9.99"/>
    <n v="1127"/>
    <x v="4"/>
    <n v="4280"/>
  </r>
  <r>
    <x v="108"/>
    <x v="933"/>
    <s v="Lewis Carroll, John Tenniel, Peter Glassman"/>
    <x v="1"/>
    <x v="3"/>
    <n v="4.0599999999999996"/>
    <n v="63050"/>
    <x v="1"/>
    <n v="216.91"/>
    <n v="130.14599999999999"/>
    <n v="1.99"/>
    <n v="1128"/>
    <x v="5"/>
    <n v="4280"/>
  </r>
  <r>
    <x v="19"/>
    <x v="934"/>
    <s v="Jung Chang"/>
    <x v="0"/>
    <x v="3"/>
    <n v="4.2300000000000004"/>
    <n v="60193"/>
    <x v="2"/>
    <n v="434.91"/>
    <n v="260.94600000000003"/>
    <n v="3.99"/>
    <n v="1129"/>
    <x v="8"/>
    <n v="4280"/>
  </r>
  <r>
    <x v="25"/>
    <x v="935"/>
    <s v="P.D. Eastman"/>
    <x v="1"/>
    <x v="3"/>
    <n v="4.08"/>
    <n v="66360"/>
    <x v="1"/>
    <n v="1160.8499999999999"/>
    <n v="696.51"/>
    <n v="10.65"/>
    <n v="1130"/>
    <x v="3"/>
    <n v="4280"/>
  </r>
  <r>
    <x v="68"/>
    <x v="936"/>
    <s v="Laura Ingalls Wilder, Garth Williams"/>
    <x v="1"/>
    <x v="3"/>
    <n v="4.1900000000000004"/>
    <n v="74666"/>
    <x v="0"/>
    <n v="516.66"/>
    <n v="309.99599999999998"/>
    <n v="4.74"/>
    <n v="1131"/>
    <x v="0"/>
    <n v="4280"/>
  </r>
  <r>
    <x v="2"/>
    <x v="936"/>
    <s v="Stephen King"/>
    <x v="1"/>
    <x v="3"/>
    <n v="4.03"/>
    <n v="36541"/>
    <x v="1"/>
    <n v="107.91"/>
    <n v="0"/>
    <n v="0.99"/>
    <n v="1131"/>
    <x v="1"/>
    <n v="4280"/>
  </r>
  <r>
    <x v="38"/>
    <x v="937"/>
    <s v="Guillermo del Toro, Chuck Hogan"/>
    <x v="0"/>
    <x v="1"/>
    <n v="3.77"/>
    <n v="58631"/>
    <x v="0"/>
    <n v="107.91"/>
    <n v="64.745999999999995"/>
    <n v="0.99"/>
    <n v="1132"/>
    <x v="1"/>
    <n v="4280"/>
  </r>
  <r>
    <x v="143"/>
    <x v="938"/>
    <s v="Emily Dickinson, Thomas H. Johnson"/>
    <x v="1"/>
    <x v="3"/>
    <n v="4.21"/>
    <n v="60278"/>
    <x v="0"/>
    <n v="543.91"/>
    <n v="0"/>
    <n v="4.99"/>
    <n v="1132"/>
    <x v="1"/>
    <n v="4280"/>
  </r>
  <r>
    <x v="57"/>
    <x v="939"/>
    <s v="Fred Gipson"/>
    <x v="0"/>
    <x v="3"/>
    <n v="4.0599999999999996"/>
    <n v="69815"/>
    <x v="0"/>
    <n v="1502.02"/>
    <n v="901.21199999999999"/>
    <n v="13.78"/>
    <n v="1136"/>
    <x v="6"/>
    <n v="4280"/>
  </r>
  <r>
    <x v="27"/>
    <x v="940"/>
    <s v="Steve Martin"/>
    <x v="1"/>
    <x v="1"/>
    <n v="3.87"/>
    <n v="60869"/>
    <x v="2"/>
    <n v="107.91"/>
    <n v="64.745999999999995"/>
    <n v="0.99"/>
    <n v="1137"/>
    <x v="1"/>
    <n v="4280"/>
  </r>
  <r>
    <x v="29"/>
    <x v="941"/>
    <s v="Frank Warren"/>
    <x v="1"/>
    <x v="3"/>
    <n v="4.01"/>
    <n v="58841"/>
    <x v="2"/>
    <n v="107.91"/>
    <n v="0"/>
    <n v="0.99"/>
    <n v="1138"/>
    <x v="1"/>
    <n v="4280"/>
  </r>
  <r>
    <x v="18"/>
    <x v="942"/>
    <s v="George R.R. Martin"/>
    <x v="1"/>
    <x v="2"/>
    <n v="4.5599999999999996"/>
    <n v="54977"/>
    <x v="0"/>
    <n v="325.91000000000003"/>
    <n v="0"/>
    <n v="2.99"/>
    <n v="1140"/>
    <x v="1"/>
    <n v="4280"/>
  </r>
  <r>
    <x v="81"/>
    <x v="943"/>
    <s v="Mary Norton, Beth Krush, Joe Krush"/>
    <x v="1"/>
    <x v="3"/>
    <n v="4.0199999999999996"/>
    <n v="74820"/>
    <x v="0"/>
    <n v="706.32"/>
    <n v="423.79199999999997"/>
    <n v="6.48"/>
    <n v="1141"/>
    <x v="2"/>
    <n v="4240"/>
  </r>
  <r>
    <x v="32"/>
    <x v="944"/>
    <s v="Stephen King"/>
    <x v="1"/>
    <x v="1"/>
    <n v="3.8"/>
    <n v="65063"/>
    <x v="0"/>
    <n v="216.91"/>
    <n v="130.14599999999999"/>
    <n v="1.99"/>
    <n v="1142"/>
    <x v="6"/>
    <n v="4240"/>
  </r>
  <r>
    <x v="95"/>
    <x v="945"/>
    <s v="Jodi Picoult"/>
    <x v="1"/>
    <x v="3"/>
    <n v="4.3499999999999996"/>
    <n v="73745"/>
    <x v="0"/>
    <n v="1306.9100000000001"/>
    <n v="784.14599999999996"/>
    <n v="11.99"/>
    <n v="1144"/>
    <x v="3"/>
    <n v="4240"/>
  </r>
  <r>
    <x v="53"/>
    <x v="945"/>
    <s v="Haruki Murakami, Alfred Birnbaum"/>
    <x v="1"/>
    <x v="1"/>
    <n v="3.94"/>
    <n v="55262"/>
    <x v="2"/>
    <n v="960.29"/>
    <n v="576.17399999999998"/>
    <n v="8.81"/>
    <n v="1147"/>
    <x v="5"/>
    <n v="4240"/>
  </r>
  <r>
    <x v="26"/>
    <x v="946"/>
    <s v="Philippa Gregory"/>
    <x v="0"/>
    <x v="1"/>
    <n v="3.83"/>
    <n v="69504"/>
    <x v="0"/>
    <n v="598.41"/>
    <n v="359.04599999999999"/>
    <n v="5.49"/>
    <n v="1148"/>
    <x v="5"/>
    <n v="4240"/>
  </r>
  <r>
    <x v="6"/>
    <x v="947"/>
    <s v="Laini Taylor"/>
    <x v="5"/>
    <x v="3"/>
    <n v="4.21"/>
    <n v="85746"/>
    <x v="0"/>
    <n v="325.91000000000003"/>
    <n v="195.54599999999999"/>
    <n v="2.99"/>
    <n v="1148"/>
    <x v="1"/>
    <n v="4240"/>
  </r>
  <r>
    <x v="71"/>
    <x v="948"/>
    <s v="Tom Robbins"/>
    <x v="1"/>
    <x v="3"/>
    <n v="4.24"/>
    <n v="48277"/>
    <x v="0"/>
    <n v="325.91000000000003"/>
    <n v="0"/>
    <n v="2.99"/>
    <n v="1148"/>
    <x v="1"/>
    <n v="4240"/>
  </r>
  <r>
    <x v="15"/>
    <x v="949"/>
    <s v="John Flanagan"/>
    <x v="0"/>
    <x v="3"/>
    <n v="4.32"/>
    <n v="60959"/>
    <x v="0"/>
    <n v="325.91000000000003"/>
    <n v="195.54599999999999"/>
    <n v="2.99"/>
    <n v="1149"/>
    <x v="1"/>
    <n v="4240"/>
  </r>
  <r>
    <x v="6"/>
    <x v="950"/>
    <s v="Alexandra Bracken"/>
    <x v="1"/>
    <x v="3"/>
    <n v="4.26"/>
    <n v="83886"/>
    <x v="1"/>
    <n v="620.21"/>
    <n v="372.12599999999998"/>
    <n v="5.69"/>
    <n v="1150"/>
    <x v="2"/>
    <n v="4240"/>
  </r>
  <r>
    <x v="29"/>
    <x v="951"/>
    <s v="Paulo Coelho, Margaret Jull Costa"/>
    <x v="1"/>
    <x v="1"/>
    <n v="3.56"/>
    <n v="50921"/>
    <x v="0"/>
    <n v="434.91"/>
    <n v="0"/>
    <n v="3.99"/>
    <n v="1151"/>
    <x v="1"/>
    <n v="4240"/>
  </r>
  <r>
    <x v="81"/>
    <x v="952"/>
    <s v="Norman Vincent Peale"/>
    <x v="1"/>
    <x v="3"/>
    <n v="4.08"/>
    <n v="52704"/>
    <x v="0"/>
    <n v="325.91000000000003"/>
    <n v="0"/>
    <n v="2.99"/>
    <n v="1152"/>
    <x v="1"/>
    <n v="4240"/>
  </r>
  <r>
    <x v="2"/>
    <x v="953"/>
    <s v="Ruth Ware"/>
    <x v="1"/>
    <x v="1"/>
    <n v="3.65"/>
    <n v="67344"/>
    <x v="0"/>
    <n v="107.91"/>
    <n v="0"/>
    <n v="0.99"/>
    <n v="1153"/>
    <x v="1"/>
    <n v="4240"/>
  </r>
  <r>
    <x v="7"/>
    <x v="954"/>
    <s v="Edith Wharton, Nina Bawden"/>
    <x v="1"/>
    <x v="1"/>
    <n v="3.94"/>
    <n v="60611"/>
    <x v="0"/>
    <n v="325.91000000000003"/>
    <n v="0"/>
    <n v="2.99"/>
    <n v="1154"/>
    <x v="1"/>
    <n v="4240"/>
  </r>
  <r>
    <x v="15"/>
    <x v="955"/>
    <s v="Hiro Mashima, William Flanagan"/>
    <x v="1"/>
    <x v="2"/>
    <n v="4.4000000000000004"/>
    <n v="65477"/>
    <x v="0"/>
    <n v="434.91"/>
    <n v="0"/>
    <n v="3.99"/>
    <n v="1155"/>
    <x v="1"/>
    <n v="4240"/>
  </r>
  <r>
    <x v="49"/>
    <x v="956"/>
    <s v="Patrick Rothfuss, Nate  Taylor"/>
    <x v="1"/>
    <x v="1"/>
    <n v="3.92"/>
    <n v="57716"/>
    <x v="0"/>
    <n v="434.91"/>
    <n v="0"/>
    <n v="3.99"/>
    <n v="1156"/>
    <x v="1"/>
    <n v="4240"/>
  </r>
  <r>
    <x v="142"/>
    <x v="957"/>
    <s v="Solomon Northup"/>
    <x v="1"/>
    <x v="3"/>
    <n v="4.1500000000000004"/>
    <n v="39758"/>
    <x v="0"/>
    <n v="543.91"/>
    <n v="326.346"/>
    <n v="4.99"/>
    <n v="1156"/>
    <x v="4"/>
    <n v="4240"/>
  </r>
  <r>
    <x v="10"/>
    <x v="958"/>
    <s v="J.R. Ward"/>
    <x v="1"/>
    <x v="2"/>
    <n v="4.41"/>
    <n v="82824"/>
    <x v="0"/>
    <n v="543.91"/>
    <n v="0"/>
    <n v="4.99"/>
    <n v="1160"/>
    <x v="1"/>
    <n v="109"/>
  </r>
  <r>
    <x v="32"/>
    <x v="959"/>
    <s v="Nathaniel Philbrick"/>
    <x v="0"/>
    <x v="3"/>
    <n v="4.16"/>
    <n v="57259"/>
    <x v="0"/>
    <n v="107.91"/>
    <n v="0"/>
    <n v="0.99"/>
    <n v="1160"/>
    <x v="1"/>
    <n v="109"/>
  </r>
  <r>
    <x v="15"/>
    <x v="960"/>
    <s v="Ayaan Hirsi Ali"/>
    <x v="1"/>
    <x v="3"/>
    <n v="4.2"/>
    <n v="58432"/>
    <x v="0"/>
    <n v="107.91"/>
    <n v="0"/>
    <n v="0.99"/>
    <n v="1161"/>
    <x v="1"/>
    <n v="109"/>
  </r>
  <r>
    <x v="27"/>
    <x v="961"/>
    <s v="Nassim Nicholas Taleb"/>
    <x v="1"/>
    <x v="1"/>
    <n v="3.88"/>
    <n v="53586"/>
    <x v="0"/>
    <n v="761.91"/>
    <n v="0"/>
    <n v="6.99"/>
    <n v="1161"/>
    <x v="1"/>
    <n v="109"/>
  </r>
  <r>
    <x v="6"/>
    <x v="962"/>
    <s v="Justin Cronin"/>
    <x v="1"/>
    <x v="1"/>
    <n v="3.98"/>
    <n v="56756"/>
    <x v="0"/>
    <n v="538.91999999999996"/>
    <n v="0"/>
    <n v="4.99"/>
    <n v="1164"/>
    <x v="1"/>
    <n v="108"/>
  </r>
  <r>
    <x v="110"/>
    <x v="963"/>
    <s v="Aleksandr Solzhenitsyn, H.T. Willetts"/>
    <x v="1"/>
    <x v="1"/>
    <n v="3.94"/>
    <n v="61678"/>
    <x v="0"/>
    <n v="646.91999999999996"/>
    <n v="388.15199999999999"/>
    <n v="5.99"/>
    <n v="1166"/>
    <x v="2"/>
    <n v="108"/>
  </r>
  <r>
    <x v="30"/>
    <x v="964"/>
    <s v="Neal Stephenson"/>
    <x v="1"/>
    <x v="3"/>
    <n v="4.1900000000000004"/>
    <n v="61836"/>
    <x v="0"/>
    <n v="970.92"/>
    <n v="582.55200000000002"/>
    <n v="8.99"/>
    <n v="1167"/>
    <x v="6"/>
    <n v="108"/>
  </r>
  <r>
    <x v="43"/>
    <x v="965"/>
    <s v="Walter M. Miller Jr."/>
    <x v="1"/>
    <x v="1"/>
    <n v="3.97"/>
    <n v="66721"/>
    <x v="0"/>
    <n v="106.92"/>
    <n v="0"/>
    <n v="0.99"/>
    <n v="1167"/>
    <x v="1"/>
    <n v="108"/>
  </r>
  <r>
    <x v="144"/>
    <x v="966"/>
    <s v="Sophocles, J.E. Thomas"/>
    <x v="1"/>
    <x v="1"/>
    <n v="3.6"/>
    <n v="67608"/>
    <x v="0"/>
    <n v="106.92"/>
    <n v="64.152000000000001"/>
    <n v="0.99"/>
    <n v="1167"/>
    <x v="1"/>
    <n v="108"/>
  </r>
  <r>
    <x v="38"/>
    <x v="967"/>
    <s v="Colm TÃ³ibÃ­n"/>
    <x v="1"/>
    <x v="1"/>
    <n v="3.63"/>
    <n v="55459"/>
    <x v="0"/>
    <n v="1659.96"/>
    <n v="995.976"/>
    <n v="15.37"/>
    <n v="1168"/>
    <x v="1"/>
    <n v="108"/>
  </r>
  <r>
    <x v="4"/>
    <x v="968"/>
    <s v="Lauren DeStefano"/>
    <x v="1"/>
    <x v="1"/>
    <n v="3.81"/>
    <n v="84776"/>
    <x v="0"/>
    <n v="412.56"/>
    <n v="0"/>
    <n v="3.82"/>
    <n v="1169"/>
    <x v="1"/>
    <n v="108"/>
  </r>
  <r>
    <x v="95"/>
    <x v="969"/>
    <s v="J.D. Vance"/>
    <x v="1"/>
    <x v="1"/>
    <n v="3.99"/>
    <n v="80737"/>
    <x v="0"/>
    <n v="430.92"/>
    <n v="0"/>
    <n v="3.99"/>
    <n v="1169"/>
    <x v="1"/>
    <n v="108"/>
  </r>
  <r>
    <x v="26"/>
    <x v="970"/>
    <s v="Robert Jordan"/>
    <x v="0"/>
    <x v="1"/>
    <n v="3.82"/>
    <n v="61361"/>
    <x v="0"/>
    <n v="430.92"/>
    <n v="0"/>
    <n v="3.99"/>
    <n v="1170"/>
    <x v="1"/>
    <n v="108"/>
  </r>
  <r>
    <x v="108"/>
    <x v="971"/>
    <s v="Stephen Crane"/>
    <x v="1"/>
    <x v="0"/>
    <n v="3.21"/>
    <n v="68448"/>
    <x v="0"/>
    <n v="1186.92"/>
    <n v="712.15200000000004"/>
    <n v="10.99"/>
    <n v="1173"/>
    <x v="3"/>
    <n v="108"/>
  </r>
  <r>
    <x v="49"/>
    <x v="972"/>
    <s v="Randall Munroe"/>
    <x v="1"/>
    <x v="3"/>
    <n v="4.17"/>
    <n v="60236"/>
    <x v="0"/>
    <n v="1150.2"/>
    <n v="690.12"/>
    <n v="10.65"/>
    <n v="1174"/>
    <x v="3"/>
    <n v="108"/>
  </r>
  <r>
    <x v="32"/>
    <x v="973"/>
    <s v="Steven Erikson"/>
    <x v="1"/>
    <x v="1"/>
    <n v="3.85"/>
    <n v="57993"/>
    <x v="0"/>
    <n v="430.92"/>
    <n v="0"/>
    <n v="3.99"/>
    <n v="1175"/>
    <x v="1"/>
    <n v="108"/>
  </r>
  <r>
    <x v="15"/>
    <x v="974"/>
    <s v="Paulo Coelho"/>
    <x v="1"/>
    <x v="1"/>
    <n v="3.51"/>
    <n v="51461"/>
    <x v="0"/>
    <n v="1327.32"/>
    <n v="796.39200000000005"/>
    <n v="12.29"/>
    <n v="1179"/>
    <x v="0"/>
    <n v="108"/>
  </r>
  <r>
    <x v="98"/>
    <x v="975"/>
    <s v="Madeleine L'Engle"/>
    <x v="1"/>
    <x v="3"/>
    <n v="4.13"/>
    <n v="75851"/>
    <x v="0"/>
    <n v="322.92"/>
    <n v="0"/>
    <n v="2.99"/>
    <n v="1182"/>
    <x v="1"/>
    <n v="108"/>
  </r>
  <r>
    <x v="26"/>
    <x v="976"/>
    <s v="Suzanne Collins"/>
    <x v="1"/>
    <x v="1"/>
    <n v="3.99"/>
    <n v="66823"/>
    <x v="0"/>
    <n v="322.92"/>
    <n v="0"/>
    <n v="2.99"/>
    <n v="1183"/>
    <x v="1"/>
    <n v="108"/>
  </r>
  <r>
    <x v="4"/>
    <x v="977"/>
    <s v="Jodi Picoult"/>
    <x v="0"/>
    <x v="1"/>
    <n v="3.76"/>
    <n v="62494"/>
    <x v="0"/>
    <n v="516.24"/>
    <n v="309.74400000000003"/>
    <n v="4.78"/>
    <n v="1184"/>
    <x v="1"/>
    <n v="108"/>
  </r>
  <r>
    <x v="76"/>
    <x v="978"/>
    <s v="Anne Rice"/>
    <x v="0"/>
    <x v="1"/>
    <n v="3.7"/>
    <n v="67267"/>
    <x v="1"/>
    <n v="214.92"/>
    <n v="128.952"/>
    <n v="1.99"/>
    <n v="1186"/>
    <x v="0"/>
    <n v="108"/>
  </r>
  <r>
    <x v="29"/>
    <x v="979"/>
    <s v="David Baldacci"/>
    <x v="1"/>
    <x v="3"/>
    <n v="4.0199999999999996"/>
    <n v="58973"/>
    <x v="2"/>
    <n v="139.32"/>
    <n v="83.591999999999999"/>
    <n v="1.29"/>
    <n v="1187"/>
    <x v="1"/>
    <n v="108"/>
  </r>
  <r>
    <x v="15"/>
    <x v="980"/>
    <s v="James Patterson"/>
    <x v="0"/>
    <x v="3"/>
    <n v="4.16"/>
    <n v="75436"/>
    <x v="0"/>
    <n v="748.44"/>
    <n v="449.06400000000002"/>
    <n v="6.93"/>
    <n v="1190"/>
    <x v="2"/>
    <n v="108"/>
  </r>
  <r>
    <x v="21"/>
    <x v="981"/>
    <s v="Terry Goodkind"/>
    <x v="0"/>
    <x v="1"/>
    <n v="3.98"/>
    <n v="60624"/>
    <x v="0"/>
    <n v="106.92"/>
    <n v="64.152000000000001"/>
    <n v="0.99"/>
    <n v="1192"/>
    <x v="1"/>
    <n v="108"/>
  </r>
  <r>
    <x v="15"/>
    <x v="982"/>
    <s v="Philippa Gregory"/>
    <x v="1"/>
    <x v="1"/>
    <n v="3.84"/>
    <n v="62135"/>
    <x v="0"/>
    <n v="646.91999999999996"/>
    <n v="388.15199999999999"/>
    <n v="5.99"/>
    <n v="1193"/>
    <x v="2"/>
    <n v="108"/>
  </r>
  <r>
    <x v="2"/>
    <x v="983"/>
    <s v="Anne Tyler"/>
    <x v="1"/>
    <x v="0"/>
    <n v="3.4"/>
    <n v="42339"/>
    <x v="0"/>
    <n v="1186.92"/>
    <n v="712.15200000000004"/>
    <n v="10.99"/>
    <n v="1194"/>
    <x v="3"/>
    <n v="108"/>
  </r>
  <r>
    <x v="95"/>
    <x v="984"/>
    <s v="Colson Whitehead"/>
    <x v="1"/>
    <x v="3"/>
    <n v="4.04"/>
    <n v="72052"/>
    <x v="0"/>
    <n v="538.91999999999996"/>
    <n v="0"/>
    <n v="4.99"/>
    <n v="1195"/>
    <x v="1"/>
    <n v="108"/>
  </r>
  <r>
    <x v="27"/>
    <x v="985"/>
    <s v="Melissa de la Cruz"/>
    <x v="0"/>
    <x v="1"/>
    <n v="3.91"/>
    <n v="76598"/>
    <x v="0"/>
    <n v="106.92"/>
    <n v="64.152000000000001"/>
    <n v="0.99"/>
    <n v="1196"/>
    <x v="1"/>
    <n v="108"/>
  </r>
  <r>
    <x v="4"/>
    <x v="986"/>
    <s v="Julie Kagawa"/>
    <x v="1"/>
    <x v="3"/>
    <n v="4.24"/>
    <n v="82373"/>
    <x v="2"/>
    <n v="430.92"/>
    <n v="0"/>
    <n v="3.99"/>
    <n v="1196"/>
    <x v="1"/>
    <n v="108"/>
  </r>
  <r>
    <x v="6"/>
    <x v="987"/>
    <s v="Cora Carmack"/>
    <x v="1"/>
    <x v="1"/>
    <n v="3.77"/>
    <n v="84438"/>
    <x v="0"/>
    <n v="538.91999999999996"/>
    <n v="323.35199999999998"/>
    <n v="4.99"/>
    <n v="1197"/>
    <x v="0"/>
    <n v="108"/>
  </r>
  <r>
    <x v="6"/>
    <x v="988"/>
    <s v="John Grisham"/>
    <x v="1"/>
    <x v="1"/>
    <n v="3.79"/>
    <n v="48286"/>
    <x v="0"/>
    <n v="322.92"/>
    <n v="193.75200000000001"/>
    <n v="2.99"/>
    <n v="1198"/>
    <x v="1"/>
    <n v="108"/>
  </r>
  <r>
    <x v="32"/>
    <x v="989"/>
    <s v="J.M. Coetzee"/>
    <x v="1"/>
    <x v="1"/>
    <n v="3.83"/>
    <n v="50422"/>
    <x v="1"/>
    <n v="1078.92"/>
    <n v="647.35199999999998"/>
    <n v="9.99"/>
    <n v="1198"/>
    <x v="4"/>
    <n v="108"/>
  </r>
  <r>
    <x v="145"/>
    <x v="990"/>
    <s v="A.A. Milne, Ernest H. Shepard"/>
    <x v="0"/>
    <x v="3"/>
    <n v="4.3600000000000003"/>
    <n v="69102"/>
    <x v="0"/>
    <n v="214.92"/>
    <n v="0"/>
    <n v="1.99"/>
    <n v="1199"/>
    <x v="1"/>
    <n v="108"/>
  </r>
  <r>
    <x v="10"/>
    <x v="991"/>
    <s v="Brent Weeks"/>
    <x v="0"/>
    <x v="3"/>
    <n v="4.24"/>
    <n v="58906"/>
    <x v="0"/>
    <n v="430.92"/>
    <n v="0"/>
    <n v="3.99"/>
    <n v="1199"/>
    <x v="1"/>
    <n v="108"/>
  </r>
  <r>
    <x v="8"/>
    <x v="992"/>
    <s v="Sue Monk Kidd"/>
    <x v="1"/>
    <x v="0"/>
    <n v="3.1"/>
    <n v="62760"/>
    <x v="0"/>
    <n v="322.92"/>
    <n v="0"/>
    <n v="2.99"/>
    <n v="1199"/>
    <x v="1"/>
    <n v="108"/>
  </r>
  <r>
    <x v="48"/>
    <x v="993"/>
    <s v="Arnold Lobel"/>
    <x v="1"/>
    <x v="3"/>
    <n v="4.18"/>
    <n v="70119"/>
    <x v="2"/>
    <n v="322.92"/>
    <n v="193.75200000000001"/>
    <n v="2.99"/>
    <n v="1200"/>
    <x v="0"/>
    <n v="108"/>
  </r>
  <r>
    <x v="39"/>
    <x v="994"/>
    <s v="Lemony Snicket, Brett Helquist"/>
    <x v="0"/>
    <x v="1"/>
    <n v="3.97"/>
    <n v="83981"/>
    <x v="0"/>
    <n v="105.93"/>
    <n v="0"/>
    <n v="0.99"/>
    <n v="1201"/>
    <x v="1"/>
    <n v="107"/>
  </r>
  <r>
    <x v="10"/>
    <x v="995"/>
    <s v="Ally Carter"/>
    <x v="0"/>
    <x v="1"/>
    <n v="3.91"/>
    <n v="75834"/>
    <x v="0"/>
    <n v="854.93"/>
    <n v="512.95799999999997"/>
    <n v="7.99"/>
    <n v="1201"/>
    <x v="4"/>
    <n v="107"/>
  </r>
  <r>
    <x v="95"/>
    <x v="996"/>
    <s v="B.A. Paris"/>
    <x v="1"/>
    <x v="1"/>
    <n v="3.93"/>
    <n v="57865"/>
    <x v="1"/>
    <n v="919.13"/>
    <n v="551.47799999999995"/>
    <n v="8.59"/>
    <n v="1201"/>
    <x v="3"/>
    <n v="107"/>
  </r>
  <r>
    <x v="13"/>
    <x v="997"/>
    <s v="Michael Shaara"/>
    <x v="0"/>
    <x v="3"/>
    <n v="4.3"/>
    <n v="58372"/>
    <x v="2"/>
    <n v="105.93"/>
    <n v="63.558"/>
    <n v="0.99"/>
    <n v="1203"/>
    <x v="1"/>
    <n v="107"/>
  </r>
  <r>
    <x v="30"/>
    <x v="998"/>
    <s v="Laurell K. Hamilton"/>
    <x v="0"/>
    <x v="3"/>
    <n v="4.16"/>
    <n v="73883"/>
    <x v="1"/>
    <n v="426.93"/>
    <n v="256.15800000000002"/>
    <n v="3.99"/>
    <n v="1206"/>
    <x v="3"/>
    <n v="107"/>
  </r>
  <r>
    <x v="15"/>
    <x v="999"/>
    <s v="Jonathan Stroud"/>
    <x v="1"/>
    <x v="3"/>
    <n v="4.24"/>
    <n v="63838"/>
    <x v="0"/>
    <n v="1272.23"/>
    <n v="763.33799999999997"/>
    <n v="11.89"/>
    <n v="1207"/>
    <x v="0"/>
    <n v="107"/>
  </r>
  <r>
    <x v="146"/>
    <x v="1000"/>
    <s v="H.G. Wells"/>
    <x v="1"/>
    <x v="1"/>
    <n v="3.72"/>
    <n v="60346"/>
    <x v="0"/>
    <n v="640.92999999999995"/>
    <n v="0"/>
    <n v="5.99"/>
    <n v="1212"/>
    <x v="1"/>
    <n v="107"/>
  </r>
  <r>
    <x v="6"/>
    <x v="1001"/>
    <s v="Jennifer L. Armentrout"/>
    <x v="0"/>
    <x v="3"/>
    <n v="4.34"/>
    <n v="92014"/>
    <x v="0"/>
    <n v="105.93"/>
    <n v="0"/>
    <n v="0.99"/>
    <n v="1213"/>
    <x v="1"/>
    <n v="107"/>
  </r>
  <r>
    <x v="3"/>
    <x v="1002"/>
    <s v="Dave Eggers"/>
    <x v="0"/>
    <x v="3"/>
    <n v="4.08"/>
    <n v="55398"/>
    <x v="0"/>
    <n v="408.74"/>
    <n v="0"/>
    <n v="3.82"/>
    <n v="1214"/>
    <x v="1"/>
    <n v="107"/>
  </r>
  <r>
    <x v="10"/>
    <x v="1003"/>
    <s v="Sharon M. Draper"/>
    <x v="0"/>
    <x v="3"/>
    <n v="4.37"/>
    <n v="63756"/>
    <x v="2"/>
    <n v="319.93"/>
    <n v="0"/>
    <n v="2.99"/>
    <n v="1215"/>
    <x v="1"/>
    <n v="107"/>
  </r>
  <r>
    <x v="6"/>
    <x v="1004"/>
    <s v="Lauren Kate"/>
    <x v="1"/>
    <x v="3"/>
    <n v="4.03"/>
    <n v="79360"/>
    <x v="2"/>
    <n v="1282.93"/>
    <n v="769.75800000000004"/>
    <n v="11.99"/>
    <n v="1216"/>
    <x v="4"/>
    <n v="107"/>
  </r>
  <r>
    <x v="10"/>
    <x v="1005"/>
    <s v="Amanda Hocking"/>
    <x v="1"/>
    <x v="1"/>
    <n v="3.89"/>
    <n v="45319"/>
    <x v="0"/>
    <n v="640.92999999999995"/>
    <n v="384.55799999999999"/>
    <n v="5.99"/>
    <n v="1217"/>
    <x v="6"/>
    <n v="107"/>
  </r>
  <r>
    <x v="147"/>
    <x v="1006"/>
    <s v="Boris Pasternak, Max Hayward, Manya Harari, John Bayley"/>
    <x v="1"/>
    <x v="3"/>
    <n v="4.03"/>
    <n v="59973"/>
    <x v="1"/>
    <n v="854.93"/>
    <n v="512.95799999999997"/>
    <n v="7.99"/>
    <n v="1217"/>
    <x v="0"/>
    <n v="107"/>
  </r>
  <r>
    <x v="2"/>
    <x v="1007"/>
    <s v="Colleen Hoover"/>
    <x v="3"/>
    <x v="3"/>
    <n v="4.25"/>
    <n v="72611"/>
    <x v="2"/>
    <n v="1175.93"/>
    <n v="705.55799999999999"/>
    <n v="10.99"/>
    <n v="1218"/>
    <x v="1"/>
    <n v="107"/>
  </r>
  <r>
    <x v="6"/>
    <x v="1007"/>
    <s v="Blake Crouch"/>
    <x v="1"/>
    <x v="1"/>
    <n v="3.88"/>
    <n v="34789"/>
    <x v="0"/>
    <n v="105.93"/>
    <n v="0"/>
    <n v="0.99"/>
    <n v="1218"/>
    <x v="1"/>
    <n v="107"/>
  </r>
  <r>
    <x v="5"/>
    <x v="1008"/>
    <s v="Michael Crichton"/>
    <x v="1"/>
    <x v="1"/>
    <n v="3.76"/>
    <n v="57818"/>
    <x v="0"/>
    <n v="854.93"/>
    <n v="512.95799999999997"/>
    <n v="7.99"/>
    <n v="1219"/>
    <x v="4"/>
    <n v="107"/>
  </r>
  <r>
    <x v="6"/>
    <x v="1009"/>
    <s v="P.D. James"/>
    <x v="1"/>
    <x v="0"/>
    <n v="3.21"/>
    <n v="65906"/>
    <x v="0"/>
    <n v="426.93"/>
    <n v="256.15800000000002"/>
    <n v="3.99"/>
    <n v="1220"/>
    <x v="1"/>
    <n v="107"/>
  </r>
  <r>
    <x v="148"/>
    <x v="1010"/>
    <s v="Edith Wharton"/>
    <x v="1"/>
    <x v="0"/>
    <n v="3.35"/>
    <n v="72421"/>
    <x v="2"/>
    <n v="405.53"/>
    <n v="243.31800000000001"/>
    <n v="3.79"/>
    <n v="1222"/>
    <x v="0"/>
    <n v="107"/>
  </r>
  <r>
    <x v="76"/>
    <x v="1011"/>
    <s v="Jane Hamilton, Frank  Muller, C.J. Critt"/>
    <x v="3"/>
    <x v="1"/>
    <n v="3.78"/>
    <n v="61347"/>
    <x v="0"/>
    <n v="324.20999999999998"/>
    <n v="194.52600000000001"/>
    <n v="3.03"/>
    <n v="1223"/>
    <x v="1"/>
    <n v="107"/>
  </r>
  <r>
    <x v="95"/>
    <x v="1012"/>
    <s v="Colleen Hoover"/>
    <x v="1"/>
    <x v="2"/>
    <n v="4.4400000000000004"/>
    <n v="80433"/>
    <x v="1"/>
    <n v="747.93"/>
    <n v="448.75799999999998"/>
    <n v="6.99"/>
    <n v="1223"/>
    <x v="3"/>
    <n v="107"/>
  </r>
  <r>
    <x v="7"/>
    <x v="1013"/>
    <s v="O. Henry, Lisbeth Zwerger"/>
    <x v="1"/>
    <x v="3"/>
    <n v="4.07"/>
    <n v="66537"/>
    <x v="2"/>
    <n v="951.23"/>
    <n v="570.73800000000006"/>
    <n v="8.89"/>
    <n v="1224"/>
    <x v="5"/>
    <n v="107"/>
  </r>
  <r>
    <x v="42"/>
    <x v="1014"/>
    <s v="Tom Wolfe"/>
    <x v="0"/>
    <x v="1"/>
    <n v="3.92"/>
    <n v="54848"/>
    <x v="0"/>
    <n v="319.93"/>
    <n v="0"/>
    <n v="2.99"/>
    <n v="1225"/>
    <x v="1"/>
    <n v="107"/>
  </r>
  <r>
    <x v="43"/>
    <x v="1015"/>
    <s v="William S. Burroughs, James Grauerholz, Barry  Miles"/>
    <x v="0"/>
    <x v="0"/>
    <n v="3.46"/>
    <n v="55473"/>
    <x v="0"/>
    <n v="529.65"/>
    <n v="317.79000000000002"/>
    <n v="4.95"/>
    <n v="1226"/>
    <x v="1"/>
    <n v="107"/>
  </r>
  <r>
    <x v="19"/>
    <x v="1016"/>
    <s v="Neil Gaiman, Kelley Jones, Charles Vess, Colleen Doran, Malcolm Jones III, Steve Erickson"/>
    <x v="1"/>
    <x v="3"/>
    <n v="4.28"/>
    <n v="67753"/>
    <x v="0"/>
    <n v="426.93"/>
    <n v="0"/>
    <n v="3.99"/>
    <n v="1230"/>
    <x v="1"/>
    <n v="107"/>
  </r>
  <r>
    <x v="61"/>
    <x v="1017"/>
    <s v="John Grisham"/>
    <x v="1"/>
    <x v="1"/>
    <n v="3.67"/>
    <n v="59974"/>
    <x v="2"/>
    <n v="105.93"/>
    <n v="0"/>
    <n v="0.99"/>
    <n v="1232"/>
    <x v="1"/>
    <n v="107"/>
  </r>
  <r>
    <x v="121"/>
    <x v="1018"/>
    <s v="Ursula K. Le Guin, Lech JÄ™czmyk"/>
    <x v="1"/>
    <x v="3"/>
    <n v="4.05"/>
    <n v="61888"/>
    <x v="0"/>
    <n v="822.83"/>
    <n v="493.69799999999998"/>
    <n v="7.69"/>
    <n v="1233"/>
    <x v="4"/>
    <n v="107"/>
  </r>
  <r>
    <x v="3"/>
    <x v="1019"/>
    <s v="John Green, Maureen Johnson, Lauren Myracle"/>
    <x v="1"/>
    <x v="1"/>
    <n v="3.84"/>
    <n v="57632"/>
    <x v="1"/>
    <n v="1149.18"/>
    <n v="689.50800000000004"/>
    <n v="10.74"/>
    <n v="1235"/>
    <x v="3"/>
    <n v="107"/>
  </r>
  <r>
    <x v="10"/>
    <x v="1020"/>
    <s v="Stephen King"/>
    <x v="0"/>
    <x v="3"/>
    <n v="4.03"/>
    <n v="60672"/>
    <x v="0"/>
    <n v="640.92999999999995"/>
    <n v="384.55799999999999"/>
    <n v="5.99"/>
    <n v="1236"/>
    <x v="4"/>
    <n v="107"/>
  </r>
  <r>
    <x v="49"/>
    <x v="1021"/>
    <s v="Atul Gawande"/>
    <x v="1"/>
    <x v="2"/>
    <n v="4.4000000000000004"/>
    <n v="56510"/>
    <x v="0"/>
    <n v="319.93"/>
    <n v="0"/>
    <n v="2.99"/>
    <n v="1237"/>
    <x v="1"/>
    <n v="107"/>
  </r>
  <r>
    <x v="1"/>
    <x v="1022"/>
    <s v="Dean Koontz"/>
    <x v="1"/>
    <x v="3"/>
    <n v="4.04"/>
    <n v="58062"/>
    <x v="0"/>
    <n v="104.94"/>
    <n v="0"/>
    <n v="0.99"/>
    <n v="1238"/>
    <x v="1"/>
    <n v="106"/>
  </r>
  <r>
    <x v="10"/>
    <x v="1023"/>
    <s v="Chelsea Handler"/>
    <x v="0"/>
    <x v="1"/>
    <n v="3.81"/>
    <n v="55355"/>
    <x v="3"/>
    <n v="477"/>
    <n v="286.2"/>
    <n v="4.5"/>
    <n v="1241"/>
    <x v="1"/>
    <n v="106"/>
  </r>
  <r>
    <x v="149"/>
    <x v="1024"/>
    <s v="Henrik Ibsen, Michael   Meyer"/>
    <x v="1"/>
    <x v="1"/>
    <n v="3.69"/>
    <n v="69450"/>
    <x v="0"/>
    <n v="1588.94"/>
    <n v="953.36400000000003"/>
    <n v="14.99"/>
    <n v="1243"/>
    <x v="2"/>
    <n v="106"/>
  </r>
  <r>
    <x v="43"/>
    <x v="1025"/>
    <s v="James A. Michener"/>
    <x v="3"/>
    <x v="3"/>
    <n v="4.18"/>
    <n v="59963"/>
    <x v="0"/>
    <n v="212"/>
    <n v="0"/>
    <n v="2"/>
    <n v="1243"/>
    <x v="1"/>
    <n v="106"/>
  </r>
  <r>
    <x v="25"/>
    <x v="1026"/>
    <s v="Richard Yates"/>
    <x v="1"/>
    <x v="1"/>
    <n v="3.89"/>
    <n v="56550"/>
    <x v="0"/>
    <n v="735.64"/>
    <n v="441.38400000000001"/>
    <n v="6.94"/>
    <n v="1244"/>
    <x v="3"/>
    <n v="106"/>
  </r>
  <r>
    <x v="15"/>
    <x v="1027"/>
    <s v="Rachel Cohn, David Levithan"/>
    <x v="0"/>
    <x v="1"/>
    <n v="3.73"/>
    <n v="60372"/>
    <x v="0"/>
    <n v="846.94"/>
    <n v="508.16399999999999"/>
    <n v="7.99"/>
    <n v="1247"/>
    <x v="4"/>
    <n v="106"/>
  </r>
  <r>
    <x v="129"/>
    <x v="1028"/>
    <s v="Tom Stoppard, Henry Popkin"/>
    <x v="1"/>
    <x v="3"/>
    <n v="4.0599999999999996"/>
    <n v="67077"/>
    <x v="2"/>
    <n v="1334.54"/>
    <n v="800.72400000000005"/>
    <n v="12.59"/>
    <n v="1248"/>
    <x v="4"/>
    <n v="106"/>
  </r>
  <r>
    <x v="4"/>
    <x v="1029"/>
    <s v="Maggie Stiefvater"/>
    <x v="1"/>
    <x v="1"/>
    <n v="3.91"/>
    <n v="85034"/>
    <x v="0"/>
    <n v="827.86"/>
    <n v="496.71600000000001"/>
    <n v="7.81"/>
    <n v="1249"/>
    <x v="3"/>
    <n v="106"/>
  </r>
  <r>
    <x v="21"/>
    <x v="1030"/>
    <s v="Alex Garland"/>
    <x v="1"/>
    <x v="1"/>
    <n v="3.91"/>
    <n v="52333"/>
    <x v="1"/>
    <n v="589.36"/>
    <n v="353.61599999999999"/>
    <n v="5.56"/>
    <n v="1251"/>
    <x v="2"/>
    <n v="106"/>
  </r>
  <r>
    <x v="10"/>
    <x v="1031"/>
    <s v="Beth Hoffman, Jenna Lamia"/>
    <x v="1"/>
    <x v="1"/>
    <n v="3.92"/>
    <n v="54341"/>
    <x v="0"/>
    <n v="316.94"/>
    <n v="0"/>
    <n v="2.99"/>
    <n v="1253"/>
    <x v="1"/>
    <n v="106"/>
  </r>
  <r>
    <x v="6"/>
    <x v="1032"/>
    <s v="Charlaine Harris"/>
    <x v="1"/>
    <x v="1"/>
    <n v="3.65"/>
    <n v="65932"/>
    <x v="2"/>
    <n v="1058.94"/>
    <n v="635.36400000000003"/>
    <n v="9.99"/>
    <n v="1255"/>
    <x v="1"/>
    <n v="106"/>
  </r>
  <r>
    <x v="39"/>
    <x v="1033"/>
    <s v="Stephen King"/>
    <x v="1"/>
    <x v="1"/>
    <n v="3.94"/>
    <n v="60932"/>
    <x v="1"/>
    <n v="316.94"/>
    <n v="190.16399999999999"/>
    <n v="2.99"/>
    <n v="1255"/>
    <x v="1"/>
    <n v="106"/>
  </r>
  <r>
    <x v="103"/>
    <x v="1034"/>
    <s v="Beverly Cleary"/>
    <x v="1"/>
    <x v="1"/>
    <n v="3.97"/>
    <n v="75987"/>
    <x v="0"/>
    <n v="740.94"/>
    <n v="444.56400000000002"/>
    <n v="6.99"/>
    <n v="1257"/>
    <x v="4"/>
    <n v="106"/>
  </r>
  <r>
    <x v="62"/>
    <x v="1035"/>
    <s v="Ursula K. Le Guin"/>
    <x v="1"/>
    <x v="3"/>
    <n v="4.1100000000000003"/>
    <n v="65626"/>
    <x v="2"/>
    <n v="210.94"/>
    <n v="0"/>
    <n v="1.99"/>
    <n v="1258"/>
    <x v="1"/>
    <n v="106"/>
  </r>
  <r>
    <x v="21"/>
    <x v="1036"/>
    <s v="Michael Crichton"/>
    <x v="1"/>
    <x v="1"/>
    <n v="3.66"/>
    <n v="59229"/>
    <x v="0"/>
    <n v="104.94"/>
    <n v="0"/>
    <n v="0.99"/>
    <n v="1263"/>
    <x v="1"/>
    <n v="106"/>
  </r>
  <r>
    <x v="53"/>
    <x v="1037"/>
    <s v="Raymond E. Feist"/>
    <x v="0"/>
    <x v="3"/>
    <n v="4.17"/>
    <n v="62432"/>
    <x v="0"/>
    <n v="815.14"/>
    <n v="489.084"/>
    <n v="7.69"/>
    <n v="1265"/>
    <x v="4"/>
    <n v="106"/>
  </r>
  <r>
    <x v="8"/>
    <x v="1038"/>
    <s v="Jennifer Crusie"/>
    <x v="1"/>
    <x v="1"/>
    <n v="3.95"/>
    <n v="70737"/>
    <x v="0"/>
    <n v="846.94"/>
    <n v="508.16399999999999"/>
    <n v="7.99"/>
    <n v="1266"/>
    <x v="4"/>
    <n v="106"/>
  </r>
  <r>
    <x v="5"/>
    <x v="1039"/>
    <s v="Nelson Mandela"/>
    <x v="1"/>
    <x v="3"/>
    <n v="4.3099999999999996"/>
    <n v="43927"/>
    <x v="0"/>
    <n v="316.94"/>
    <n v="0"/>
    <n v="2.99"/>
    <n v="1266"/>
    <x v="1"/>
    <n v="106"/>
  </r>
  <r>
    <x v="49"/>
    <x v="1040"/>
    <s v="John Grisham"/>
    <x v="1"/>
    <x v="1"/>
    <n v="3.52"/>
    <n v="37379"/>
    <x v="2"/>
    <n v="104.94"/>
    <n v="62.963999999999999"/>
    <n v="0.99"/>
    <n v="1268"/>
    <x v="1"/>
    <n v="106"/>
  </r>
  <r>
    <x v="55"/>
    <x v="1041"/>
    <s v="Bryce Courtenay"/>
    <x v="1"/>
    <x v="3"/>
    <n v="4.34"/>
    <n v="57312"/>
    <x v="0"/>
    <n v="846.94"/>
    <n v="508.16399999999999"/>
    <n v="7.99"/>
    <n v="1270"/>
    <x v="4"/>
    <n v="106"/>
  </r>
  <r>
    <x v="102"/>
    <x v="1042"/>
    <s v="Dashiell Hammett"/>
    <x v="1"/>
    <x v="1"/>
    <n v="3.92"/>
    <n v="58742"/>
    <x v="0"/>
    <n v="846.94"/>
    <n v="508.16399999999999"/>
    <n v="7.99"/>
    <n v="1271"/>
    <x v="2"/>
    <n v="106"/>
  </r>
  <r>
    <x v="4"/>
    <x v="1043"/>
    <s v="Kristin Hannah"/>
    <x v="0"/>
    <x v="3"/>
    <n v="4.17"/>
    <n v="58028"/>
    <x v="0"/>
    <n v="104.94"/>
    <n v="62.963999999999999"/>
    <n v="0.99"/>
    <n v="1272"/>
    <x v="1"/>
    <n v="106"/>
  </r>
  <r>
    <x v="32"/>
    <x v="1044"/>
    <s v="Lee Child"/>
    <x v="1"/>
    <x v="3"/>
    <n v="4.07"/>
    <n v="55251"/>
    <x v="0"/>
    <n v="316.94"/>
    <n v="0"/>
    <n v="2.99"/>
    <n v="1273"/>
    <x v="1"/>
    <n v="1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AEB78A-F03F-48A9-8DC6-0CF12CC679C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L31:N42" firstHeaderRow="0" firstDataRow="1" firstDataCol="1"/>
  <pivotFields count="14">
    <pivotField showAll="0" measureFilter="1">
      <items count="151">
        <item x="125"/>
        <item x="144"/>
        <item x="92"/>
        <item x="85"/>
        <item x="120"/>
        <item x="131"/>
        <item x="127"/>
        <item x="111"/>
        <item x="58"/>
        <item x="86"/>
        <item x="94"/>
        <item x="84"/>
        <item x="97"/>
        <item x="73"/>
        <item x="44"/>
        <item x="90"/>
        <item x="112"/>
        <item x="135"/>
        <item x="33"/>
        <item x="89"/>
        <item x="139"/>
        <item x="133"/>
        <item x="87"/>
        <item x="122"/>
        <item x="117"/>
        <item x="138"/>
        <item x="40"/>
        <item x="59"/>
        <item x="142"/>
        <item x="91"/>
        <item x="24"/>
        <item x="116"/>
        <item x="109"/>
        <item x="115"/>
        <item x="70"/>
        <item x="108"/>
        <item x="72"/>
        <item x="118"/>
        <item x="149"/>
        <item x="56"/>
        <item x="128"/>
        <item x="124"/>
        <item x="134"/>
        <item x="143"/>
        <item x="23"/>
        <item x="83"/>
        <item x="146"/>
        <item x="14"/>
        <item x="88"/>
        <item x="46"/>
        <item x="52"/>
        <item x="7"/>
        <item x="101"/>
        <item x="93"/>
        <item x="60"/>
        <item x="148"/>
        <item x="140"/>
        <item x="126"/>
        <item x="123"/>
        <item x="107"/>
        <item x="119"/>
        <item x="65"/>
        <item x="12"/>
        <item x="51"/>
        <item x="137"/>
        <item x="113"/>
        <item x="145"/>
        <item x="75"/>
        <item x="102"/>
        <item x="106"/>
        <item x="69"/>
        <item x="130"/>
        <item x="66"/>
        <item x="11"/>
        <item x="68"/>
        <item x="105"/>
        <item x="67"/>
        <item x="136"/>
        <item x="100"/>
        <item x="132"/>
        <item x="99"/>
        <item x="77"/>
        <item x="16"/>
        <item x="74"/>
        <item x="36"/>
        <item x="81"/>
        <item x="47"/>
        <item x="9"/>
        <item x="103"/>
        <item x="57"/>
        <item x="147"/>
        <item x="63"/>
        <item x="43"/>
        <item x="35"/>
        <item x="25"/>
        <item x="110"/>
        <item x="141"/>
        <item x="114"/>
        <item x="82"/>
        <item x="129"/>
        <item x="41"/>
        <item x="42"/>
        <item x="121"/>
        <item x="48"/>
        <item x="78"/>
        <item x="62"/>
        <item x="104"/>
        <item x="13"/>
        <item x="0"/>
        <item x="79"/>
        <item x="50"/>
        <item x="98"/>
        <item x="64"/>
        <item x="45"/>
        <item x="22"/>
        <item x="53"/>
        <item x="34"/>
        <item x="71"/>
        <item x="54"/>
        <item x="28"/>
        <item x="1"/>
        <item x="80"/>
        <item x="55"/>
        <item x="96"/>
        <item x="19"/>
        <item x="76"/>
        <item x="20"/>
        <item x="5"/>
        <item x="30"/>
        <item x="21"/>
        <item x="37"/>
        <item x="31"/>
        <item x="32"/>
        <item x="18"/>
        <item x="61"/>
        <item x="39"/>
        <item x="26"/>
        <item x="8"/>
        <item x="29"/>
        <item x="15"/>
        <item x="27"/>
        <item x="3"/>
        <item x="38"/>
        <item x="10"/>
        <item x="4"/>
        <item x="6"/>
        <item x="17"/>
        <item x="49"/>
        <item x="2"/>
        <item x="95"/>
        <item t="default"/>
      </items>
    </pivotField>
    <pivotField axis="axisRow" showAll="0" measureFilter="1" sortType="descending">
      <items count="1046">
        <item x="15"/>
        <item x="1002"/>
        <item x="362"/>
        <item x="657"/>
        <item x="301"/>
        <item x="108"/>
        <item x="324"/>
        <item x="206"/>
        <item x="397"/>
        <item x="279"/>
        <item x="269"/>
        <item x="968"/>
        <item x="701"/>
        <item x="539"/>
        <item x="856"/>
        <item x="809"/>
        <item x="934"/>
        <item x="337"/>
        <item x="502"/>
        <item x="464"/>
        <item x="768"/>
        <item x="844"/>
        <item x="396"/>
        <item x="725"/>
        <item x="915"/>
        <item x="3"/>
        <item x="314"/>
        <item x="800"/>
        <item x="695"/>
        <item x="972"/>
        <item x="603"/>
        <item x="357"/>
        <item x="670"/>
        <item x="262"/>
        <item x="635"/>
        <item x="403"/>
        <item x="323"/>
        <item x="173"/>
        <item x="282"/>
        <item x="623"/>
        <item x="23"/>
        <item x="432"/>
        <item x="368"/>
        <item x="165"/>
        <item x="96"/>
        <item x="531"/>
        <item x="607"/>
        <item x="177"/>
        <item x="628"/>
        <item x="732"/>
        <item x="604"/>
        <item x="863"/>
        <item x="154"/>
        <item x="116"/>
        <item x="766"/>
        <item x="672"/>
        <item x="588"/>
        <item x="583"/>
        <item x="373"/>
        <item x="415"/>
        <item x="225"/>
        <item x="957"/>
        <item x="317"/>
        <item x="44"/>
        <item x="486"/>
        <item x="864"/>
        <item x="1044"/>
        <item x="251"/>
        <item x="447"/>
        <item x="67"/>
        <item x="724"/>
        <item x="542"/>
        <item x="290"/>
        <item x="841"/>
        <item x="42"/>
        <item x="933"/>
        <item x="455"/>
        <item x="426"/>
        <item x="756"/>
        <item x="676"/>
        <item x="917"/>
        <item x="82"/>
        <item x="264"/>
        <item x="737"/>
        <item x="171"/>
        <item x="86"/>
        <item x="146"/>
        <item x="514"/>
        <item x="855"/>
        <item x="356"/>
        <item x="430"/>
        <item x="522"/>
        <item x="881"/>
        <item x="675"/>
        <item x="519"/>
        <item x="289"/>
        <item x="491"/>
        <item x="123"/>
        <item x="228"/>
        <item x="319"/>
        <item x="152"/>
        <item x="321"/>
        <item x="30"/>
        <item x="189"/>
        <item x="16"/>
        <item x="899"/>
        <item x="25"/>
        <item x="690"/>
        <item x="14"/>
        <item x="162"/>
        <item x="299"/>
        <item x="984"/>
        <item x="454"/>
        <item x="828"/>
        <item x="715"/>
        <item x="451"/>
        <item x="962"/>
        <item x="10"/>
        <item x="94"/>
        <item x="234"/>
        <item x="180"/>
        <item x="597"/>
        <item x="610"/>
        <item x="790"/>
        <item x="370"/>
        <item x="515"/>
        <item x="369"/>
        <item x="267"/>
        <item x="626"/>
        <item x="237"/>
        <item x="705"/>
        <item x="978"/>
        <item x="68"/>
        <item x="482"/>
        <item x="830"/>
        <item x="475"/>
        <item x="342"/>
        <item x="524"/>
        <item x="495"/>
        <item x="810"/>
        <item x="937"/>
        <item x="213"/>
        <item x="263"/>
        <item x="772"/>
        <item x="47"/>
        <item x="144"/>
        <item x="852"/>
        <item x="753"/>
        <item x="183"/>
        <item x="723"/>
        <item x="622"/>
        <item x="956"/>
        <item x="923"/>
        <item x="532"/>
        <item x="164"/>
        <item x="69"/>
        <item x="78"/>
        <item x="161"/>
        <item x="762"/>
        <item x="728"/>
        <item x="196"/>
        <item x="380"/>
        <item x="815"/>
        <item x="694"/>
        <item x="186"/>
        <item x="813"/>
        <item x="285"/>
        <item x="361"/>
        <item x="891"/>
        <item x="471"/>
        <item x="456"/>
        <item x="1016"/>
        <item x="700"/>
        <item x="653"/>
        <item x="890"/>
        <item x="759"/>
        <item x="869"/>
        <item x="66"/>
        <item x="21"/>
        <item x="335"/>
        <item x="283"/>
        <item x="971"/>
        <item x="708"/>
        <item x="389"/>
        <item x="63"/>
        <item x="988"/>
        <item x="946"/>
        <item x="359"/>
        <item x="606"/>
        <item x="636"/>
        <item x="886"/>
        <item x="467"/>
        <item x="952"/>
        <item x="1041"/>
        <item x="208"/>
        <item x="6"/>
        <item x="93"/>
        <item x="767"/>
        <item x="29"/>
        <item x="506"/>
        <item x="194"/>
        <item x="706"/>
        <item x="131"/>
        <item x="424"/>
        <item x="811"/>
        <item x="910"/>
        <item x="630"/>
        <item x="401"/>
        <item x="615"/>
        <item x="505"/>
        <item x="820"/>
        <item x="19"/>
        <item x="534"/>
        <item x="1015"/>
        <item x="749"/>
        <item x="137"/>
        <item x="860"/>
        <item x="637"/>
        <item x="457"/>
        <item x="647"/>
        <item x="87"/>
        <item x="795"/>
        <item x="621"/>
        <item x="845"/>
        <item x="545"/>
        <item x="992"/>
        <item x="302"/>
        <item x="909"/>
        <item x="103"/>
        <item x="385"/>
        <item x="667"/>
        <item x="343"/>
        <item x="434"/>
        <item x="1042"/>
        <item x="51"/>
        <item x="699"/>
        <item x="575"/>
        <item x="847"/>
        <item x="556"/>
        <item x="744"/>
        <item x="204"/>
        <item x="669"/>
        <item x="781"/>
        <item x="799"/>
        <item x="210"/>
        <item x="1018"/>
        <item x="865"/>
        <item x="778"/>
        <item x="624"/>
        <item x="882"/>
        <item x="838"/>
        <item x="107"/>
        <item x="34"/>
        <item x="508"/>
        <item x="857"/>
        <item x="997"/>
        <item x="407"/>
        <item x="783"/>
        <item x="341"/>
        <item x="374"/>
        <item x="1000"/>
        <item x="986"/>
        <item x="220"/>
        <item x="885"/>
        <item x="662"/>
        <item x="271"/>
        <item x="468"/>
        <item x="819"/>
        <item x="825"/>
        <item x="574"/>
        <item x="712"/>
        <item x="954"/>
        <item x="150"/>
        <item x="990"/>
        <item x="402"/>
        <item x="85"/>
        <item x="726"/>
        <item x="11"/>
        <item x="425"/>
        <item x="587"/>
        <item x="329"/>
        <item x="70"/>
        <item x="520"/>
        <item x="818"/>
        <item x="433"/>
        <item x="38"/>
        <item x="564"/>
        <item x="633"/>
        <item x="274"/>
        <item x="754"/>
        <item x="921"/>
        <item x="866"/>
        <item x="644"/>
        <item x="205"/>
        <item x="632"/>
        <item x="476"/>
        <item x="348"/>
        <item x="445"/>
        <item x="1013"/>
        <item x="421"/>
        <item x="253"/>
        <item x="681"/>
        <item x="638"/>
        <item x="80"/>
        <item x="375"/>
        <item x="410"/>
        <item x="326"/>
        <item x="1035"/>
        <item x="931"/>
        <item x="833"/>
        <item x="195"/>
        <item x="595"/>
        <item x="469"/>
        <item x="745"/>
        <item x="591"/>
        <item x="682"/>
        <item x="1014"/>
        <item x="399"/>
        <item x="293"/>
        <item x="79"/>
        <item x="964"/>
        <item x="707"/>
        <item x="309"/>
        <item x="136"/>
        <item x="448"/>
        <item x="950"/>
        <item x="414"/>
        <item x="428"/>
        <item x="124"/>
        <item x="166"/>
        <item x="233"/>
        <item x="938"/>
        <item x="832"/>
        <item x="419"/>
        <item x="526"/>
        <item x="677"/>
        <item x="270"/>
        <item x="170"/>
        <item x="912"/>
        <item x="182"/>
        <item x="296"/>
        <item x="537"/>
        <item x="733"/>
        <item x="994"/>
        <item x="979"/>
        <item x="849"/>
        <item x="757"/>
        <item x="702"/>
        <item x="77"/>
        <item x="761"/>
        <item x="55"/>
        <item x="929"/>
        <item x="943"/>
        <item x="794"/>
        <item x="850"/>
        <item x="310"/>
        <item x="190"/>
        <item x="836"/>
        <item x="982"/>
        <item x="227"/>
        <item x="485"/>
        <item x="805"/>
        <item x="345"/>
        <item x="378"/>
        <item x="961"/>
        <item x="991"/>
        <item x="363"/>
        <item x="932"/>
        <item x="629"/>
        <item x="618"/>
        <item x="444"/>
        <item x="284"/>
        <item x="322"/>
        <item x="717"/>
        <item x="1030"/>
        <item x="949"/>
        <item x="245"/>
        <item x="229"/>
        <item x="683"/>
        <item x="156"/>
        <item x="851"/>
        <item x="835"/>
        <item x="488"/>
        <item x="379"/>
        <item x="36"/>
        <item x="613"/>
        <item x="590"/>
        <item x="658"/>
        <item x="441"/>
        <item x="384"/>
        <item x="913"/>
        <item x="887"/>
        <item x="360"/>
        <item x="660"/>
        <item x="58"/>
        <item x="646"/>
        <item x="859"/>
        <item x="27"/>
        <item x="642"/>
        <item x="277"/>
        <item x="452"/>
        <item x="596"/>
        <item x="332"/>
        <item x="112"/>
        <item x="458"/>
        <item x="550"/>
        <item x="691"/>
        <item x="1005"/>
        <item x="140"/>
        <item x="412"/>
        <item x="417"/>
        <item x="527"/>
        <item x="679"/>
        <item x="585"/>
        <item x="680"/>
        <item x="344"/>
        <item x="617"/>
        <item x="529"/>
        <item x="755"/>
        <item x="222"/>
        <item x="686"/>
        <item x="431"/>
        <item x="599"/>
        <item x="163"/>
        <item x="752"/>
        <item x="100"/>
        <item x="159"/>
        <item x="244"/>
        <item x="883"/>
        <item x="511"/>
        <item x="673"/>
        <item x="102"/>
        <item x="473"/>
        <item x="197"/>
        <item x="307"/>
        <item x="821"/>
        <item x="898"/>
        <item x="110"/>
        <item x="581"/>
        <item x="977"/>
        <item x="50"/>
        <item x="232"/>
        <item x="521"/>
        <item x="884"/>
        <item x="413"/>
        <item x="416"/>
        <item x="776"/>
        <item x="99"/>
        <item x="187"/>
        <item x="288"/>
        <item x="862"/>
        <item x="437"/>
        <item x="459"/>
        <item x="303"/>
        <item x="250"/>
        <item x="842"/>
        <item x="684"/>
        <item x="620"/>
        <item x="231"/>
        <item x="217"/>
        <item x="807"/>
        <item x="226"/>
        <item x="48"/>
        <item x="980"/>
        <item x="1031"/>
        <item x="561"/>
        <item x="748"/>
        <item x="487"/>
        <item x="211"/>
        <item x="648"/>
        <item x="477"/>
        <item x="1028"/>
        <item x="704"/>
        <item x="872"/>
        <item x="198"/>
        <item x="496"/>
        <item x="501"/>
        <item x="649"/>
        <item x="49"/>
        <item x="449"/>
        <item x="1026"/>
        <item x="803"/>
        <item x="576"/>
        <item x="358"/>
        <item x="896"/>
        <item x="879"/>
        <item x="711"/>
        <item x="320"/>
        <item x="5"/>
        <item x="400"/>
        <item x="377"/>
        <item x="512"/>
        <item x="1004"/>
        <item x="742"/>
        <item x="721"/>
        <item x="902"/>
        <item x="741"/>
        <item x="999"/>
        <item x="816"/>
        <item x="179"/>
        <item x="602"/>
        <item x="900"/>
        <item x="497"/>
        <item x="106"/>
        <item x="17"/>
        <item x="801"/>
        <item x="427"/>
        <item x="230"/>
        <item x="823"/>
        <item x="941"/>
        <item x="774"/>
        <item x="791"/>
        <item x="423"/>
        <item x="83"/>
        <item x="330"/>
        <item x="1007"/>
        <item x="291"/>
        <item x="470"/>
        <item x="95"/>
        <item x="406"/>
        <item x="443"/>
        <item x="1003"/>
        <item x="871"/>
        <item x="39"/>
        <item x="84"/>
        <item x="1001"/>
        <item x="174"/>
        <item x="627"/>
        <item x="509"/>
        <item x="812"/>
        <item x="777"/>
        <item x="261"/>
        <item x="157"/>
        <item x="770"/>
        <item x="259"/>
        <item x="391"/>
        <item x="939"/>
        <item x="371"/>
        <item x="214"/>
        <item x="824"/>
        <item x="922"/>
        <item x="951"/>
        <item x="241"/>
        <item x="897"/>
        <item x="392"/>
        <item x="572"/>
        <item x="278"/>
        <item x="175"/>
        <item x="89"/>
        <item x="798"/>
        <item x="327"/>
        <item x="1043"/>
        <item x="1027"/>
        <item x="567"/>
        <item x="751"/>
        <item x="22"/>
        <item x="861"/>
        <item x="298"/>
        <item x="295"/>
        <item x="664"/>
        <item x="634"/>
        <item x="538"/>
        <item x="889"/>
        <item x="466"/>
        <item x="552"/>
        <item x="138"/>
        <item x="516"/>
        <item x="202"/>
        <item x="167"/>
        <item x="312"/>
        <item x="90"/>
        <item x="569"/>
        <item x="788"/>
        <item x="219"/>
        <item x="439"/>
        <item x="612"/>
        <item x="674"/>
        <item x="504"/>
        <item x="743"/>
        <item x="92"/>
        <item x="513"/>
        <item x="297"/>
        <item x="7"/>
        <item x="422"/>
        <item x="746"/>
        <item x="40"/>
        <item x="827"/>
        <item x="568"/>
        <item x="722"/>
        <item x="985"/>
        <item x="710"/>
        <item x="880"/>
        <item x="315"/>
        <item x="895"/>
        <item x="367"/>
        <item x="779"/>
        <item x="868"/>
        <item x="1037"/>
        <item x="28"/>
        <item x="145"/>
        <item x="582"/>
        <item x="541"/>
        <item x="387"/>
        <item x="688"/>
        <item x="792"/>
        <item x="747"/>
        <item x="351"/>
        <item x="930"/>
        <item x="920"/>
        <item x="304"/>
        <item x="958"/>
        <item x="75"/>
        <item x="160"/>
        <item x="987"/>
        <item x="1039"/>
        <item x="221"/>
        <item x="858"/>
        <item x="463"/>
        <item x="294"/>
        <item x="13"/>
        <item x="147"/>
        <item x="565"/>
        <item x="806"/>
        <item x="418"/>
        <item x="215"/>
        <item x="553"/>
        <item x="20"/>
        <item x="765"/>
        <item x="720"/>
        <item x="209"/>
        <item x="498"/>
        <item x="594"/>
        <item x="1019"/>
        <item x="438"/>
        <item x="97"/>
        <item x="172"/>
        <item x="117"/>
        <item x="12"/>
        <item x="802"/>
        <item x="276"/>
        <item x="645"/>
        <item x="207"/>
        <item x="331"/>
        <item x="334"/>
        <item x="625"/>
        <item x="135"/>
        <item x="734"/>
        <item x="41"/>
        <item x="698"/>
        <item x="875"/>
        <item x="558"/>
        <item x="239"/>
        <item x="176"/>
        <item x="640"/>
        <item x="148"/>
        <item x="73"/>
        <item x="948"/>
        <item x="240"/>
        <item x="328"/>
        <item x="829"/>
        <item x="287"/>
        <item x="101"/>
        <item x="740"/>
        <item x="32"/>
        <item x="1012"/>
        <item x="739"/>
        <item x="316"/>
        <item x="200"/>
        <item x="128"/>
        <item x="1022"/>
        <item x="376"/>
        <item x="114"/>
        <item x="960"/>
        <item x="436"/>
        <item x="959"/>
        <item x="235"/>
        <item x="518"/>
        <item x="953"/>
        <item x="411"/>
        <item x="122"/>
        <item x="236"/>
        <item x="784"/>
        <item x="390"/>
        <item x="614"/>
        <item x="193"/>
        <item x="246"/>
        <item x="168"/>
        <item x="280"/>
        <item x="785"/>
        <item x="763"/>
        <item x="254"/>
        <item x="347"/>
        <item x="548"/>
        <item x="609"/>
        <item x="804"/>
        <item x="853"/>
        <item x="8"/>
        <item x="735"/>
        <item x="346"/>
        <item x="404"/>
        <item x="398"/>
        <item x="969"/>
        <item x="386"/>
        <item x="639"/>
        <item x="37"/>
        <item x="598"/>
        <item x="460"/>
        <item x="928"/>
        <item x="435"/>
        <item x="995"/>
        <item x="481"/>
        <item x="105"/>
        <item x="876"/>
        <item x="944"/>
        <item x="530"/>
        <item x="1025"/>
        <item x="888"/>
        <item x="693"/>
        <item x="350"/>
        <item x="689"/>
        <item x="510"/>
        <item x="892"/>
        <item x="714"/>
        <item x="218"/>
        <item x="544"/>
        <item x="325"/>
        <item x="355"/>
        <item x="904"/>
        <item x="562"/>
        <item x="976"/>
        <item x="1040"/>
        <item x="492"/>
        <item x="393"/>
        <item x="151"/>
        <item x="797"/>
        <item x="793"/>
        <item x="750"/>
        <item x="935"/>
        <item x="787"/>
        <item x="2"/>
        <item x="71"/>
        <item x="536"/>
        <item x="372"/>
        <item x="318"/>
        <item x="973"/>
        <item x="592"/>
        <item x="365"/>
        <item x="926"/>
        <item x="1020"/>
        <item x="256"/>
        <item x="188"/>
        <item x="993"/>
        <item x="651"/>
        <item x="120"/>
        <item x="655"/>
        <item x="503"/>
        <item x="525"/>
        <item x="666"/>
        <item x="252"/>
        <item x="1029"/>
        <item x="247"/>
        <item x="352"/>
        <item x="313"/>
        <item x="893"/>
        <item x="903"/>
        <item x="543"/>
        <item x="141"/>
        <item x="158"/>
        <item x="394"/>
        <item x="936"/>
        <item x="580"/>
        <item x="780"/>
        <item x="678"/>
        <item x="546"/>
        <item x="249"/>
        <item x="275"/>
        <item x="955"/>
        <item x="535"/>
        <item x="490"/>
        <item x="718"/>
        <item x="848"/>
        <item x="616"/>
        <item x="1033"/>
        <item x="901"/>
        <item x="54"/>
        <item x="134"/>
        <item x="878"/>
        <item x="300"/>
        <item x="566"/>
        <item x="1010"/>
        <item x="1024"/>
        <item x="547"/>
        <item x="142"/>
        <item x="119"/>
        <item x="224"/>
        <item x="911"/>
        <item x="395"/>
        <item x="409"/>
        <item x="894"/>
        <item x="840"/>
        <item x="507"/>
        <item x="914"/>
        <item x="493"/>
        <item x="494"/>
        <item x="729"/>
        <item x="56"/>
        <item x="557"/>
        <item x="540"/>
        <item x="808"/>
        <item x="641"/>
        <item x="354"/>
        <item x="963"/>
        <item x="563"/>
        <item x="814"/>
        <item x="593"/>
        <item x="560"/>
        <item x="178"/>
        <item x="773"/>
        <item x="125"/>
        <item x="281"/>
        <item x="846"/>
        <item x="586"/>
        <item x="908"/>
        <item x="786"/>
        <item x="64"/>
        <item x="533"/>
        <item x="652"/>
        <item x="59"/>
        <item x="257"/>
        <item x="989"/>
        <item x="1008"/>
        <item x="500"/>
        <item x="203"/>
        <item x="339"/>
        <item x="873"/>
        <item x="839"/>
        <item x="631"/>
        <item x="405"/>
        <item x="191"/>
        <item x="474"/>
        <item x="665"/>
        <item x="81"/>
        <item x="118"/>
        <item x="181"/>
        <item x="685"/>
        <item x="1009"/>
        <item x="1032"/>
        <item x="730"/>
        <item x="782"/>
        <item x="26"/>
        <item x="659"/>
        <item x="333"/>
        <item x="796"/>
        <item x="98"/>
        <item x="212"/>
        <item x="817"/>
        <item x="947"/>
        <item x="57"/>
        <item x="353"/>
        <item x="4"/>
        <item x="528"/>
        <item x="383"/>
        <item x="1006"/>
        <item x="499"/>
        <item x="338"/>
        <item x="24"/>
        <item x="600"/>
        <item x="549"/>
        <item x="216"/>
        <item x="970"/>
        <item x="121"/>
        <item x="238"/>
        <item x="260"/>
        <item x="388"/>
        <item x="696"/>
        <item x="692"/>
        <item x="18"/>
        <item x="462"/>
        <item x="126"/>
        <item x="643"/>
        <item x="31"/>
        <item x="366"/>
        <item x="429"/>
        <item x="248"/>
        <item x="713"/>
        <item x="74"/>
        <item x="998"/>
        <item x="45"/>
        <item x="109"/>
        <item x="589"/>
        <item x="671"/>
        <item x="719"/>
        <item x="478"/>
        <item x="306"/>
        <item x="1023"/>
        <item x="867"/>
        <item x="559"/>
        <item x="461"/>
        <item x="76"/>
        <item x="854"/>
        <item x="523"/>
        <item x="906"/>
        <item x="925"/>
        <item x="619"/>
        <item x="43"/>
        <item x="243"/>
        <item x="877"/>
        <item x="945"/>
        <item x="268"/>
        <item x="822"/>
        <item x="192"/>
        <item x="967"/>
        <item x="905"/>
        <item x="843"/>
        <item x="130"/>
        <item x="272"/>
        <item x="336"/>
        <item x="255"/>
        <item x="143"/>
        <item x="940"/>
        <item x="483"/>
        <item x="440"/>
        <item x="223"/>
        <item x="760"/>
        <item x="981"/>
        <item x="579"/>
        <item x="924"/>
        <item x="185"/>
        <item x="771"/>
        <item x="837"/>
        <item x="442"/>
        <item x="650"/>
        <item x="472"/>
        <item x="1038"/>
        <item x="0"/>
        <item x="789"/>
        <item x="1021"/>
        <item x="709"/>
        <item x="996"/>
        <item x="687"/>
        <item x="1034"/>
        <item x="61"/>
        <item x="155"/>
        <item x="605"/>
        <item x="874"/>
        <item x="601"/>
        <item x="111"/>
        <item x="1"/>
        <item x="199"/>
        <item x="35"/>
        <item x="769"/>
        <item x="169"/>
        <item x="113"/>
        <item x="551"/>
        <item x="450"/>
        <item x="907"/>
        <item x="703"/>
        <item x="65"/>
        <item x="349"/>
        <item x="661"/>
        <item x="72"/>
        <item x="88"/>
        <item x="46"/>
        <item x="381"/>
        <item x="364"/>
        <item x="834"/>
        <item x="570"/>
        <item x="668"/>
        <item x="480"/>
        <item x="311"/>
        <item x="408"/>
        <item x="132"/>
        <item x="919"/>
        <item x="731"/>
        <item x="517"/>
        <item x="139"/>
        <item x="465"/>
        <item x="554"/>
        <item x="916"/>
        <item x="571"/>
        <item x="133"/>
        <item x="91"/>
        <item x="775"/>
        <item x="382"/>
        <item x="453"/>
        <item x="127"/>
        <item x="927"/>
        <item x="1036"/>
        <item x="33"/>
        <item x="266"/>
        <item x="52"/>
        <item x="584"/>
        <item x="578"/>
        <item x="273"/>
        <item x="758"/>
        <item x="608"/>
        <item x="265"/>
        <item x="258"/>
        <item x="716"/>
        <item x="966"/>
        <item x="115"/>
        <item x="736"/>
        <item x="727"/>
        <item x="738"/>
        <item x="663"/>
        <item x="60"/>
        <item x="654"/>
        <item x="104"/>
        <item x="975"/>
        <item x="942"/>
        <item x="573"/>
        <item x="983"/>
        <item x="62"/>
        <item x="697"/>
        <item x="292"/>
        <item x="420"/>
        <item x="129"/>
        <item x="1017"/>
        <item x="184"/>
        <item x="489"/>
        <item x="826"/>
        <item x="1011"/>
        <item x="201"/>
        <item x="870"/>
        <item x="9"/>
        <item x="656"/>
        <item x="286"/>
        <item x="53"/>
        <item x="242"/>
        <item x="918"/>
        <item x="611"/>
        <item x="577"/>
        <item x="305"/>
        <item x="764"/>
        <item x="965"/>
        <item x="974"/>
        <item x="484"/>
        <item x="149"/>
        <item x="340"/>
        <item x="555"/>
        <item x="831"/>
        <item x="153"/>
        <item x="479"/>
        <item x="308"/>
        <item x="446"/>
        <item t="default"/>
      </items>
    </pivotField>
    <pivotField showAll="0"/>
    <pivotField showAll="0">
      <items count="9">
        <item x="7"/>
        <item x="5"/>
        <item x="1"/>
        <item x="3"/>
        <item x="0"/>
        <item x="4"/>
        <item x="6"/>
        <item x="2"/>
        <item t="default"/>
      </items>
    </pivotField>
    <pivotField showAll="0">
      <items count="5">
        <item x="3"/>
        <item x="2"/>
        <item x="1"/>
        <item x="0"/>
        <item t="default"/>
      </items>
    </pivotField>
    <pivotField showAll="0"/>
    <pivotField showAll="0"/>
    <pivotField showAll="0">
      <items count="5">
        <item x="3"/>
        <item x="1"/>
        <item x="0"/>
        <item x="2"/>
        <item t="default"/>
      </items>
    </pivotField>
    <pivotField dataField="1" showAll="0"/>
    <pivotField showAll="0"/>
    <pivotField showAll="0"/>
    <pivotField showAll="0"/>
    <pivotField showAll="0">
      <items count="10">
        <item x="5"/>
        <item x="4"/>
        <item x="3"/>
        <item x="6"/>
        <item x="7"/>
        <item x="0"/>
        <item x="8"/>
        <item x="2"/>
        <item x="1"/>
        <item t="default"/>
      </items>
    </pivotField>
    <pivotField dataField="1" showAll="0"/>
  </pivotFields>
  <rowFields count="1">
    <field x="1"/>
  </rowFields>
  <rowItems count="11">
    <i>
      <x v="236"/>
    </i>
    <i>
      <x v="269"/>
    </i>
    <i>
      <x v="545"/>
    </i>
    <i>
      <x v="553"/>
    </i>
    <i>
      <x v="571"/>
    </i>
    <i>
      <x v="587"/>
    </i>
    <i>
      <x v="966"/>
    </i>
    <i>
      <x v="973"/>
    </i>
    <i>
      <x v="979"/>
    </i>
    <i>
      <x v="1010"/>
    </i>
    <i t="grand">
      <x/>
    </i>
  </rowItems>
  <colFields count="1">
    <field x="-2"/>
  </colFields>
  <colItems count="2">
    <i>
      <x/>
    </i>
    <i i="1">
      <x v="1"/>
    </i>
  </colItems>
  <dataFields count="2">
    <dataField name="Sum of Units_Sold" fld="13" baseField="0" baseItem="0"/>
    <dataField name="Sum of Gross_Sales" fld="8" baseField="0" baseItem="0"/>
  </dataFields>
  <chartFormats count="73">
    <chartFormat chart="5" format="1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31" format="24" series="1">
      <pivotArea type="data" outline="0" fieldPosition="0">
        <references count="1">
          <reference field="4294967294" count="1" selected="0">
            <x v="0"/>
          </reference>
        </references>
      </pivotArea>
    </chartFormat>
    <chartFormat chart="31" format="25">
      <pivotArea type="data" outline="0" fieldPosition="0">
        <references count="2">
          <reference field="4294967294" count="1" selected="0">
            <x v="0"/>
          </reference>
          <reference field="1" count="1" selected="0">
            <x v="236"/>
          </reference>
        </references>
      </pivotArea>
    </chartFormat>
    <chartFormat chart="31" format="26">
      <pivotArea type="data" outline="0" fieldPosition="0">
        <references count="2">
          <reference field="4294967294" count="1" selected="0">
            <x v="0"/>
          </reference>
          <reference field="1" count="1" selected="0">
            <x v="269"/>
          </reference>
        </references>
      </pivotArea>
    </chartFormat>
    <chartFormat chart="31" format="27">
      <pivotArea type="data" outline="0" fieldPosition="0">
        <references count="2">
          <reference field="4294967294" count="1" selected="0">
            <x v="0"/>
          </reference>
          <reference field="1" count="1" selected="0">
            <x v="545"/>
          </reference>
        </references>
      </pivotArea>
    </chartFormat>
    <chartFormat chart="31" format="28">
      <pivotArea type="data" outline="0" fieldPosition="0">
        <references count="2">
          <reference field="4294967294" count="1" selected="0">
            <x v="0"/>
          </reference>
          <reference field="1" count="1" selected="0">
            <x v="553"/>
          </reference>
        </references>
      </pivotArea>
    </chartFormat>
    <chartFormat chart="31" format="29">
      <pivotArea type="data" outline="0" fieldPosition="0">
        <references count="2">
          <reference field="4294967294" count="1" selected="0">
            <x v="0"/>
          </reference>
          <reference field="1" count="1" selected="0">
            <x v="571"/>
          </reference>
        </references>
      </pivotArea>
    </chartFormat>
    <chartFormat chart="31" format="30">
      <pivotArea type="data" outline="0" fieldPosition="0">
        <references count="2">
          <reference field="4294967294" count="1" selected="0">
            <x v="0"/>
          </reference>
          <reference field="1" count="1" selected="0">
            <x v="587"/>
          </reference>
        </references>
      </pivotArea>
    </chartFormat>
    <chartFormat chart="31" format="31">
      <pivotArea type="data" outline="0" fieldPosition="0">
        <references count="2">
          <reference field="4294967294" count="1" selected="0">
            <x v="0"/>
          </reference>
          <reference field="1" count="1" selected="0">
            <x v="966"/>
          </reference>
        </references>
      </pivotArea>
    </chartFormat>
    <chartFormat chart="31" format="32">
      <pivotArea type="data" outline="0" fieldPosition="0">
        <references count="2">
          <reference field="4294967294" count="1" selected="0">
            <x v="0"/>
          </reference>
          <reference field="1" count="1" selected="0">
            <x v="973"/>
          </reference>
        </references>
      </pivotArea>
    </chartFormat>
    <chartFormat chart="31" format="33">
      <pivotArea type="data" outline="0" fieldPosition="0">
        <references count="2">
          <reference field="4294967294" count="1" selected="0">
            <x v="0"/>
          </reference>
          <reference field="1" count="1" selected="0">
            <x v="979"/>
          </reference>
        </references>
      </pivotArea>
    </chartFormat>
    <chartFormat chart="31" format="34">
      <pivotArea type="data" outline="0" fieldPosition="0">
        <references count="2">
          <reference field="4294967294" count="1" selected="0">
            <x v="0"/>
          </reference>
          <reference field="1" count="1" selected="0">
            <x v="1010"/>
          </reference>
        </references>
      </pivotArea>
    </chartFormat>
    <chartFormat chart="31" format="35" series="1">
      <pivotArea type="data" outline="0" fieldPosition="0">
        <references count="1">
          <reference field="4294967294" count="1" selected="0">
            <x v="1"/>
          </reference>
        </references>
      </pivotArea>
    </chartFormat>
    <chartFormat chart="31" format="36">
      <pivotArea type="data" outline="0" fieldPosition="0">
        <references count="2">
          <reference field="4294967294" count="1" selected="0">
            <x v="1"/>
          </reference>
          <reference field="1" count="1" selected="0">
            <x v="236"/>
          </reference>
        </references>
      </pivotArea>
    </chartFormat>
    <chartFormat chart="31" format="37">
      <pivotArea type="data" outline="0" fieldPosition="0">
        <references count="2">
          <reference field="4294967294" count="1" selected="0">
            <x v="1"/>
          </reference>
          <reference field="1" count="1" selected="0">
            <x v="269"/>
          </reference>
        </references>
      </pivotArea>
    </chartFormat>
    <chartFormat chart="31" format="38">
      <pivotArea type="data" outline="0" fieldPosition="0">
        <references count="2">
          <reference field="4294967294" count="1" selected="0">
            <x v="1"/>
          </reference>
          <reference field="1" count="1" selected="0">
            <x v="545"/>
          </reference>
        </references>
      </pivotArea>
    </chartFormat>
    <chartFormat chart="31" format="39">
      <pivotArea type="data" outline="0" fieldPosition="0">
        <references count="2">
          <reference field="4294967294" count="1" selected="0">
            <x v="1"/>
          </reference>
          <reference field="1" count="1" selected="0">
            <x v="553"/>
          </reference>
        </references>
      </pivotArea>
    </chartFormat>
    <chartFormat chart="31" format="40">
      <pivotArea type="data" outline="0" fieldPosition="0">
        <references count="2">
          <reference field="4294967294" count="1" selected="0">
            <x v="1"/>
          </reference>
          <reference field="1" count="1" selected="0">
            <x v="571"/>
          </reference>
        </references>
      </pivotArea>
    </chartFormat>
    <chartFormat chart="31" format="41">
      <pivotArea type="data" outline="0" fieldPosition="0">
        <references count="2">
          <reference field="4294967294" count="1" selected="0">
            <x v="1"/>
          </reference>
          <reference field="1" count="1" selected="0">
            <x v="587"/>
          </reference>
        </references>
      </pivotArea>
    </chartFormat>
    <chartFormat chart="31" format="42">
      <pivotArea type="data" outline="0" fieldPosition="0">
        <references count="2">
          <reference field="4294967294" count="1" selected="0">
            <x v="1"/>
          </reference>
          <reference field="1" count="1" selected="0">
            <x v="966"/>
          </reference>
        </references>
      </pivotArea>
    </chartFormat>
    <chartFormat chart="31" format="43">
      <pivotArea type="data" outline="0" fieldPosition="0">
        <references count="2">
          <reference field="4294967294" count="1" selected="0">
            <x v="1"/>
          </reference>
          <reference field="1" count="1" selected="0">
            <x v="973"/>
          </reference>
        </references>
      </pivotArea>
    </chartFormat>
    <chartFormat chart="31" format="44">
      <pivotArea type="data" outline="0" fieldPosition="0">
        <references count="2">
          <reference field="4294967294" count="1" selected="0">
            <x v="1"/>
          </reference>
          <reference field="1" count="1" selected="0">
            <x v="979"/>
          </reference>
        </references>
      </pivotArea>
    </chartFormat>
    <chartFormat chart="31" format="45">
      <pivotArea type="data" outline="0" fieldPosition="0">
        <references count="2">
          <reference field="4294967294" count="1" selected="0">
            <x v="1"/>
          </reference>
          <reference field="1" count="1" selected="0">
            <x v="101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1" count="1" selected="0">
            <x v="236"/>
          </reference>
        </references>
      </pivotArea>
    </chartFormat>
    <chartFormat chart="32" format="4">
      <pivotArea type="data" outline="0" fieldPosition="0">
        <references count="2">
          <reference field="4294967294" count="1" selected="0">
            <x v="0"/>
          </reference>
          <reference field="1" count="1" selected="0">
            <x v="269"/>
          </reference>
        </references>
      </pivotArea>
    </chartFormat>
    <chartFormat chart="32" format="5">
      <pivotArea type="data" outline="0" fieldPosition="0">
        <references count="2">
          <reference field="4294967294" count="1" selected="0">
            <x v="0"/>
          </reference>
          <reference field="1" count="1" selected="0">
            <x v="545"/>
          </reference>
        </references>
      </pivotArea>
    </chartFormat>
    <chartFormat chart="32" format="6">
      <pivotArea type="data" outline="0" fieldPosition="0">
        <references count="2">
          <reference field="4294967294" count="1" selected="0">
            <x v="0"/>
          </reference>
          <reference field="1" count="1" selected="0">
            <x v="553"/>
          </reference>
        </references>
      </pivotArea>
    </chartFormat>
    <chartFormat chart="32" format="7">
      <pivotArea type="data" outline="0" fieldPosition="0">
        <references count="2">
          <reference field="4294967294" count="1" selected="0">
            <x v="0"/>
          </reference>
          <reference field="1" count="1" selected="0">
            <x v="571"/>
          </reference>
        </references>
      </pivotArea>
    </chartFormat>
    <chartFormat chart="32" format="8">
      <pivotArea type="data" outline="0" fieldPosition="0">
        <references count="2">
          <reference field="4294967294" count="1" selected="0">
            <x v="0"/>
          </reference>
          <reference field="1" count="1" selected="0">
            <x v="587"/>
          </reference>
        </references>
      </pivotArea>
    </chartFormat>
    <chartFormat chart="32" format="9">
      <pivotArea type="data" outline="0" fieldPosition="0">
        <references count="2">
          <reference field="4294967294" count="1" selected="0">
            <x v="0"/>
          </reference>
          <reference field="1" count="1" selected="0">
            <x v="966"/>
          </reference>
        </references>
      </pivotArea>
    </chartFormat>
    <chartFormat chart="32" format="10">
      <pivotArea type="data" outline="0" fieldPosition="0">
        <references count="2">
          <reference field="4294967294" count="1" selected="0">
            <x v="0"/>
          </reference>
          <reference field="1" count="1" selected="0">
            <x v="973"/>
          </reference>
        </references>
      </pivotArea>
    </chartFormat>
    <chartFormat chart="32" format="11">
      <pivotArea type="data" outline="0" fieldPosition="0">
        <references count="2">
          <reference field="4294967294" count="1" selected="0">
            <x v="0"/>
          </reference>
          <reference field="1" count="1" selected="0">
            <x v="979"/>
          </reference>
        </references>
      </pivotArea>
    </chartFormat>
    <chartFormat chart="32" format="12">
      <pivotArea type="data" outline="0" fieldPosition="0">
        <references count="2">
          <reference field="4294967294" count="1" selected="0">
            <x v="0"/>
          </reference>
          <reference field="1" count="1" selected="0">
            <x v="1010"/>
          </reference>
        </references>
      </pivotArea>
    </chartFormat>
    <chartFormat chart="32" format="13" series="1">
      <pivotArea type="data" outline="0" fieldPosition="0">
        <references count="1">
          <reference field="4294967294" count="1" selected="0">
            <x v="1"/>
          </reference>
        </references>
      </pivotArea>
    </chartFormat>
    <chartFormat chart="32" format="14">
      <pivotArea type="data" outline="0" fieldPosition="0">
        <references count="2">
          <reference field="4294967294" count="1" selected="0">
            <x v="1"/>
          </reference>
          <reference field="1" count="1" selected="0">
            <x v="236"/>
          </reference>
        </references>
      </pivotArea>
    </chartFormat>
    <chartFormat chart="32" format="15">
      <pivotArea type="data" outline="0" fieldPosition="0">
        <references count="2">
          <reference field="4294967294" count="1" selected="0">
            <x v="1"/>
          </reference>
          <reference field="1" count="1" selected="0">
            <x v="269"/>
          </reference>
        </references>
      </pivotArea>
    </chartFormat>
    <chartFormat chart="32" format="16">
      <pivotArea type="data" outline="0" fieldPosition="0">
        <references count="2">
          <reference field="4294967294" count="1" selected="0">
            <x v="1"/>
          </reference>
          <reference field="1" count="1" selected="0">
            <x v="545"/>
          </reference>
        </references>
      </pivotArea>
    </chartFormat>
    <chartFormat chart="32" format="17">
      <pivotArea type="data" outline="0" fieldPosition="0">
        <references count="2">
          <reference field="4294967294" count="1" selected="0">
            <x v="1"/>
          </reference>
          <reference field="1" count="1" selected="0">
            <x v="553"/>
          </reference>
        </references>
      </pivotArea>
    </chartFormat>
    <chartFormat chart="32" format="18">
      <pivotArea type="data" outline="0" fieldPosition="0">
        <references count="2">
          <reference field="4294967294" count="1" selected="0">
            <x v="1"/>
          </reference>
          <reference field="1" count="1" selected="0">
            <x v="571"/>
          </reference>
        </references>
      </pivotArea>
    </chartFormat>
    <chartFormat chart="32" format="19">
      <pivotArea type="data" outline="0" fieldPosition="0">
        <references count="2">
          <reference field="4294967294" count="1" selected="0">
            <x v="1"/>
          </reference>
          <reference field="1" count="1" selected="0">
            <x v="587"/>
          </reference>
        </references>
      </pivotArea>
    </chartFormat>
    <chartFormat chart="32" format="20">
      <pivotArea type="data" outline="0" fieldPosition="0">
        <references count="2">
          <reference field="4294967294" count="1" selected="0">
            <x v="1"/>
          </reference>
          <reference field="1" count="1" selected="0">
            <x v="966"/>
          </reference>
        </references>
      </pivotArea>
    </chartFormat>
    <chartFormat chart="32" format="21">
      <pivotArea type="data" outline="0" fieldPosition="0">
        <references count="2">
          <reference field="4294967294" count="1" selected="0">
            <x v="1"/>
          </reference>
          <reference field="1" count="1" selected="0">
            <x v="973"/>
          </reference>
        </references>
      </pivotArea>
    </chartFormat>
    <chartFormat chart="32" format="22">
      <pivotArea type="data" outline="0" fieldPosition="0">
        <references count="2">
          <reference field="4294967294" count="1" selected="0">
            <x v="1"/>
          </reference>
          <reference field="1" count="1" selected="0">
            <x v="979"/>
          </reference>
        </references>
      </pivotArea>
    </chartFormat>
    <chartFormat chart="32" format="23">
      <pivotArea type="data" outline="0" fieldPosition="0">
        <references count="2">
          <reference field="4294967294" count="1" selected="0">
            <x v="1"/>
          </reference>
          <reference field="1" count="1" selected="0">
            <x v="1010"/>
          </reference>
        </references>
      </pivotArea>
    </chartFormat>
    <chartFormat chart="33" format="24" series="1">
      <pivotArea type="data" outline="0" fieldPosition="0">
        <references count="1">
          <reference field="4294967294" count="1" selected="0">
            <x v="0"/>
          </reference>
        </references>
      </pivotArea>
    </chartFormat>
    <chartFormat chart="33" format="25">
      <pivotArea type="data" outline="0" fieldPosition="0">
        <references count="2">
          <reference field="4294967294" count="1" selected="0">
            <x v="0"/>
          </reference>
          <reference field="1" count="1" selected="0">
            <x v="236"/>
          </reference>
        </references>
      </pivotArea>
    </chartFormat>
    <chartFormat chart="33" format="26">
      <pivotArea type="data" outline="0" fieldPosition="0">
        <references count="2">
          <reference field="4294967294" count="1" selected="0">
            <x v="0"/>
          </reference>
          <reference field="1" count="1" selected="0">
            <x v="269"/>
          </reference>
        </references>
      </pivotArea>
    </chartFormat>
    <chartFormat chart="33" format="27">
      <pivotArea type="data" outline="0" fieldPosition="0">
        <references count="2">
          <reference field="4294967294" count="1" selected="0">
            <x v="0"/>
          </reference>
          <reference field="1" count="1" selected="0">
            <x v="545"/>
          </reference>
        </references>
      </pivotArea>
    </chartFormat>
    <chartFormat chart="33" format="28">
      <pivotArea type="data" outline="0" fieldPosition="0">
        <references count="2">
          <reference field="4294967294" count="1" selected="0">
            <x v="0"/>
          </reference>
          <reference field="1" count="1" selected="0">
            <x v="553"/>
          </reference>
        </references>
      </pivotArea>
    </chartFormat>
    <chartFormat chart="33" format="29">
      <pivotArea type="data" outline="0" fieldPosition="0">
        <references count="2">
          <reference field="4294967294" count="1" selected="0">
            <x v="0"/>
          </reference>
          <reference field="1" count="1" selected="0">
            <x v="571"/>
          </reference>
        </references>
      </pivotArea>
    </chartFormat>
    <chartFormat chart="33" format="30">
      <pivotArea type="data" outline="0" fieldPosition="0">
        <references count="2">
          <reference field="4294967294" count="1" selected="0">
            <x v="0"/>
          </reference>
          <reference field="1" count="1" selected="0">
            <x v="587"/>
          </reference>
        </references>
      </pivotArea>
    </chartFormat>
    <chartFormat chart="33" format="31">
      <pivotArea type="data" outline="0" fieldPosition="0">
        <references count="2">
          <reference field="4294967294" count="1" selected="0">
            <x v="0"/>
          </reference>
          <reference field="1" count="1" selected="0">
            <x v="966"/>
          </reference>
        </references>
      </pivotArea>
    </chartFormat>
    <chartFormat chart="33" format="32">
      <pivotArea type="data" outline="0" fieldPosition="0">
        <references count="2">
          <reference field="4294967294" count="1" selected="0">
            <x v="0"/>
          </reference>
          <reference field="1" count="1" selected="0">
            <x v="973"/>
          </reference>
        </references>
      </pivotArea>
    </chartFormat>
    <chartFormat chart="33" format="33">
      <pivotArea type="data" outline="0" fieldPosition="0">
        <references count="2">
          <reference field="4294967294" count="1" selected="0">
            <x v="0"/>
          </reference>
          <reference field="1" count="1" selected="0">
            <x v="979"/>
          </reference>
        </references>
      </pivotArea>
    </chartFormat>
    <chartFormat chart="33" format="34">
      <pivotArea type="data" outline="0" fieldPosition="0">
        <references count="2">
          <reference field="4294967294" count="1" selected="0">
            <x v="0"/>
          </reference>
          <reference field="1" count="1" selected="0">
            <x v="1010"/>
          </reference>
        </references>
      </pivotArea>
    </chartFormat>
    <chartFormat chart="33" format="35" series="1">
      <pivotArea type="data" outline="0" fieldPosition="0">
        <references count="1">
          <reference field="4294967294" count="1" selected="0">
            <x v="1"/>
          </reference>
        </references>
      </pivotArea>
    </chartFormat>
    <chartFormat chart="33" format="36">
      <pivotArea type="data" outline="0" fieldPosition="0">
        <references count="2">
          <reference field="4294967294" count="1" selected="0">
            <x v="1"/>
          </reference>
          <reference field="1" count="1" selected="0">
            <x v="236"/>
          </reference>
        </references>
      </pivotArea>
    </chartFormat>
    <chartFormat chart="33" format="37">
      <pivotArea type="data" outline="0" fieldPosition="0">
        <references count="2">
          <reference field="4294967294" count="1" selected="0">
            <x v="1"/>
          </reference>
          <reference field="1" count="1" selected="0">
            <x v="269"/>
          </reference>
        </references>
      </pivotArea>
    </chartFormat>
    <chartFormat chart="33" format="38">
      <pivotArea type="data" outline="0" fieldPosition="0">
        <references count="2">
          <reference field="4294967294" count="1" selected="0">
            <x v="1"/>
          </reference>
          <reference field="1" count="1" selected="0">
            <x v="545"/>
          </reference>
        </references>
      </pivotArea>
    </chartFormat>
    <chartFormat chart="33" format="39">
      <pivotArea type="data" outline="0" fieldPosition="0">
        <references count="2">
          <reference field="4294967294" count="1" selected="0">
            <x v="1"/>
          </reference>
          <reference field="1" count="1" selected="0">
            <x v="553"/>
          </reference>
        </references>
      </pivotArea>
    </chartFormat>
    <chartFormat chart="33" format="40">
      <pivotArea type="data" outline="0" fieldPosition="0">
        <references count="2">
          <reference field="4294967294" count="1" selected="0">
            <x v="1"/>
          </reference>
          <reference field="1" count="1" selected="0">
            <x v="571"/>
          </reference>
        </references>
      </pivotArea>
    </chartFormat>
    <chartFormat chart="33" format="41">
      <pivotArea type="data" outline="0" fieldPosition="0">
        <references count="2">
          <reference field="4294967294" count="1" selected="0">
            <x v="1"/>
          </reference>
          <reference field="1" count="1" selected="0">
            <x v="587"/>
          </reference>
        </references>
      </pivotArea>
    </chartFormat>
    <chartFormat chart="33" format="42">
      <pivotArea type="data" outline="0" fieldPosition="0">
        <references count="2">
          <reference field="4294967294" count="1" selected="0">
            <x v="1"/>
          </reference>
          <reference field="1" count="1" selected="0">
            <x v="966"/>
          </reference>
        </references>
      </pivotArea>
    </chartFormat>
    <chartFormat chart="33" format="43">
      <pivotArea type="data" outline="0" fieldPosition="0">
        <references count="2">
          <reference field="4294967294" count="1" selected="0">
            <x v="1"/>
          </reference>
          <reference field="1" count="1" selected="0">
            <x v="973"/>
          </reference>
        </references>
      </pivotArea>
    </chartFormat>
    <chartFormat chart="33" format="44">
      <pivotArea type="data" outline="0" fieldPosition="0">
        <references count="2">
          <reference field="4294967294" count="1" selected="0">
            <x v="1"/>
          </reference>
          <reference field="1" count="1" selected="0">
            <x v="979"/>
          </reference>
        </references>
      </pivotArea>
    </chartFormat>
    <chartFormat chart="33" format="45">
      <pivotArea type="data" outline="0" fieldPosition="0">
        <references count="2">
          <reference field="4294967294" count="1" selected="0">
            <x v="1"/>
          </reference>
          <reference field="1" count="1" selected="0">
            <x v="1010"/>
          </reference>
        </references>
      </pivotArea>
    </chartFormat>
  </chartFormats>
  <pivotTableStyleInfo name="PivotStyleLight16" showRowHeaders="1" showColHeaders="1" showRowStripes="0" showColStripes="0" showLastColumn="1"/>
  <filters count="2">
    <filter fld="1" type="count" evalOrder="-1" id="5" iMeasureFld="0">
      <autoFilter ref="A1">
        <filterColumn colId="0">
          <top10 val="10" filterVal="10"/>
        </filterColumn>
      </autoFilter>
    </filter>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C5DB15-B003-4909-A793-D811E22E0F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14">
    <pivotField showAll="0"/>
    <pivotField showAll="0"/>
    <pivotField showAll="0"/>
    <pivotField showAll="0">
      <items count="9">
        <item x="7"/>
        <item x="5"/>
        <item x="1"/>
        <item x="3"/>
        <item x="0"/>
        <item x="4"/>
        <item x="6"/>
        <item x="2"/>
        <item t="default"/>
      </items>
    </pivotField>
    <pivotField showAll="0">
      <items count="5">
        <item x="3"/>
        <item x="2"/>
        <item x="1"/>
        <item x="0"/>
        <item t="default"/>
      </items>
    </pivotField>
    <pivotField showAll="0"/>
    <pivotField showAll="0"/>
    <pivotField showAll="0"/>
    <pivotField dataField="1" showAll="0"/>
    <pivotField showAll="0"/>
    <pivotField showAll="0"/>
    <pivotField showAll="0"/>
    <pivotField axis="axisRow" showAll="0" sortType="descending">
      <items count="10">
        <item x="5"/>
        <item x="4"/>
        <item x="3"/>
        <item x="6"/>
        <item x="7"/>
        <item x="0"/>
        <item x="8"/>
        <item x="2"/>
        <item x="1"/>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10">
    <i>
      <x v="8"/>
    </i>
    <i>
      <x v="2"/>
    </i>
    <i>
      <x v="1"/>
    </i>
    <i>
      <x v="7"/>
    </i>
    <i>
      <x v="5"/>
    </i>
    <i>
      <x/>
    </i>
    <i>
      <x v="3"/>
    </i>
    <i>
      <x v="4"/>
    </i>
    <i>
      <x v="6"/>
    </i>
    <i t="grand">
      <x/>
    </i>
  </rowItems>
  <colItems count="1">
    <i/>
  </colItems>
  <dataFields count="1">
    <dataField name="Sum of Gross_Sal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67FFBE-D0E4-41F5-9E35-3D0B29045B3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L14:M23" firstHeaderRow="1" firstDataRow="1" firstDataCol="1"/>
  <pivotFields count="14">
    <pivotField showAll="0" measureFilter="1">
      <items count="151">
        <item x="125"/>
        <item x="144"/>
        <item x="92"/>
        <item x="85"/>
        <item x="120"/>
        <item x="131"/>
        <item x="127"/>
        <item x="111"/>
        <item x="58"/>
        <item x="86"/>
        <item x="94"/>
        <item x="84"/>
        <item x="97"/>
        <item x="73"/>
        <item x="44"/>
        <item x="90"/>
        <item x="112"/>
        <item x="135"/>
        <item x="33"/>
        <item x="89"/>
        <item x="139"/>
        <item x="133"/>
        <item x="87"/>
        <item x="122"/>
        <item x="117"/>
        <item x="138"/>
        <item x="40"/>
        <item x="59"/>
        <item x="142"/>
        <item x="91"/>
        <item x="24"/>
        <item x="116"/>
        <item x="109"/>
        <item x="115"/>
        <item x="70"/>
        <item x="108"/>
        <item x="72"/>
        <item x="118"/>
        <item x="149"/>
        <item x="56"/>
        <item x="128"/>
        <item x="124"/>
        <item x="134"/>
        <item x="143"/>
        <item x="23"/>
        <item x="83"/>
        <item x="146"/>
        <item x="14"/>
        <item x="88"/>
        <item x="46"/>
        <item x="52"/>
        <item x="7"/>
        <item x="101"/>
        <item x="93"/>
        <item x="60"/>
        <item x="148"/>
        <item x="140"/>
        <item x="126"/>
        <item x="123"/>
        <item x="107"/>
        <item x="119"/>
        <item x="65"/>
        <item x="12"/>
        <item x="51"/>
        <item x="137"/>
        <item x="113"/>
        <item x="145"/>
        <item x="75"/>
        <item x="102"/>
        <item x="106"/>
        <item x="69"/>
        <item x="130"/>
        <item x="66"/>
        <item x="11"/>
        <item x="68"/>
        <item x="105"/>
        <item x="67"/>
        <item x="136"/>
        <item x="100"/>
        <item x="132"/>
        <item x="99"/>
        <item x="77"/>
        <item x="16"/>
        <item x="74"/>
        <item x="36"/>
        <item x="81"/>
        <item x="47"/>
        <item x="9"/>
        <item x="103"/>
        <item x="57"/>
        <item x="147"/>
        <item x="63"/>
        <item x="43"/>
        <item x="35"/>
        <item x="25"/>
        <item x="110"/>
        <item x="141"/>
        <item x="114"/>
        <item x="82"/>
        <item x="129"/>
        <item x="41"/>
        <item x="42"/>
        <item x="121"/>
        <item x="48"/>
        <item x="78"/>
        <item x="62"/>
        <item x="104"/>
        <item x="13"/>
        <item x="0"/>
        <item x="79"/>
        <item x="50"/>
        <item x="98"/>
        <item x="64"/>
        <item x="45"/>
        <item x="22"/>
        <item x="53"/>
        <item x="34"/>
        <item x="71"/>
        <item x="54"/>
        <item x="28"/>
        <item x="1"/>
        <item x="80"/>
        <item x="55"/>
        <item x="96"/>
        <item x="19"/>
        <item x="76"/>
        <item x="20"/>
        <item x="5"/>
        <item x="30"/>
        <item x="21"/>
        <item x="37"/>
        <item x="31"/>
        <item x="32"/>
        <item x="18"/>
        <item x="61"/>
        <item x="39"/>
        <item x="26"/>
        <item x="8"/>
        <item x="29"/>
        <item x="15"/>
        <item x="27"/>
        <item x="3"/>
        <item x="38"/>
        <item x="10"/>
        <item x="4"/>
        <item x="6"/>
        <item x="17"/>
        <item x="49"/>
        <item x="2"/>
        <item x="95"/>
        <item t="default"/>
      </items>
    </pivotField>
    <pivotField showAll="0"/>
    <pivotField showAll="0"/>
    <pivotField axis="axisRow" showAll="0">
      <items count="9">
        <item x="7"/>
        <item x="5"/>
        <item x="1"/>
        <item x="3"/>
        <item x="0"/>
        <item x="4"/>
        <item x="6"/>
        <item x="2"/>
        <item t="default"/>
      </items>
    </pivotField>
    <pivotField showAll="0">
      <items count="5">
        <item x="3"/>
        <item x="2"/>
        <item x="1"/>
        <item x="0"/>
        <item t="default"/>
      </items>
    </pivotField>
    <pivotField showAll="0"/>
    <pivotField showAll="0"/>
    <pivotField showAll="0">
      <items count="5">
        <item x="3"/>
        <item x="1"/>
        <item x="0"/>
        <item x="2"/>
        <item t="default"/>
      </items>
    </pivotField>
    <pivotField showAll="0"/>
    <pivotField showAll="0"/>
    <pivotField showAll="0"/>
    <pivotField showAll="0"/>
    <pivotField showAll="0">
      <items count="10">
        <item x="5"/>
        <item x="4"/>
        <item x="3"/>
        <item x="6"/>
        <item x="7"/>
        <item x="0"/>
        <item x="8"/>
        <item x="2"/>
        <item x="1"/>
        <item t="default"/>
      </items>
    </pivotField>
    <pivotField dataField="1" showAll="0"/>
  </pivotFields>
  <rowFields count="1">
    <field x="3"/>
  </rowFields>
  <rowItems count="9">
    <i>
      <x/>
    </i>
    <i>
      <x v="1"/>
    </i>
    <i>
      <x v="2"/>
    </i>
    <i>
      <x v="3"/>
    </i>
    <i>
      <x v="4"/>
    </i>
    <i>
      <x v="5"/>
    </i>
    <i>
      <x v="6"/>
    </i>
    <i>
      <x v="7"/>
    </i>
    <i t="grand">
      <x/>
    </i>
  </rowItems>
  <colItems count="1">
    <i/>
  </colItems>
  <dataFields count="1">
    <dataField name="Sum of Units_Sold" fld="13" baseField="0" baseItem="0"/>
  </dataFields>
  <chartFormats count="13">
    <chartFormat chart="5" format="1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3" count="1" selected="0">
            <x v="0"/>
          </reference>
        </references>
      </pivotArea>
    </chartFormat>
    <chartFormat chart="24" format="12">
      <pivotArea type="data" outline="0" fieldPosition="0">
        <references count="2">
          <reference field="4294967294" count="1" selected="0">
            <x v="0"/>
          </reference>
          <reference field="3" count="1" selected="0">
            <x v="1"/>
          </reference>
        </references>
      </pivotArea>
    </chartFormat>
    <chartFormat chart="24" format="13">
      <pivotArea type="data" outline="0" fieldPosition="0">
        <references count="2">
          <reference field="4294967294" count="1" selected="0">
            <x v="0"/>
          </reference>
          <reference field="3" count="1" selected="0">
            <x v="2"/>
          </reference>
        </references>
      </pivotArea>
    </chartFormat>
    <chartFormat chart="24" format="14">
      <pivotArea type="data" outline="0" fieldPosition="0">
        <references count="2">
          <reference field="4294967294" count="1" selected="0">
            <x v="0"/>
          </reference>
          <reference field="3" count="1" selected="0">
            <x v="3"/>
          </reference>
        </references>
      </pivotArea>
    </chartFormat>
    <chartFormat chart="24" format="15">
      <pivotArea type="data" outline="0" fieldPosition="0">
        <references count="2">
          <reference field="4294967294" count="1" selected="0">
            <x v="0"/>
          </reference>
          <reference field="3" count="1" selected="0">
            <x v="4"/>
          </reference>
        </references>
      </pivotArea>
    </chartFormat>
    <chartFormat chart="24" format="16">
      <pivotArea type="data" outline="0" fieldPosition="0">
        <references count="2">
          <reference field="4294967294" count="1" selected="0">
            <x v="0"/>
          </reference>
          <reference field="3" count="1" selected="0">
            <x v="5"/>
          </reference>
        </references>
      </pivotArea>
    </chartFormat>
    <chartFormat chart="24" format="17">
      <pivotArea type="data" outline="0" fieldPosition="0">
        <references count="2">
          <reference field="4294967294" count="1" selected="0">
            <x v="0"/>
          </reference>
          <reference field="3" count="1" selected="0">
            <x v="6"/>
          </reference>
        </references>
      </pivotArea>
    </chartFormat>
    <chartFormat chart="24" format="1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A5E9E0-5427-4536-BC84-E90AD44D18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21:I32" firstHeaderRow="1" firstDataRow="1" firstDataCol="1"/>
  <pivotFields count="14">
    <pivotField axis="axisRow" showAll="0" measureFilter="1">
      <items count="151">
        <item x="125"/>
        <item x="144"/>
        <item x="92"/>
        <item x="85"/>
        <item x="120"/>
        <item x="131"/>
        <item x="127"/>
        <item x="111"/>
        <item x="58"/>
        <item x="86"/>
        <item x="94"/>
        <item x="84"/>
        <item x="97"/>
        <item x="73"/>
        <item x="44"/>
        <item x="90"/>
        <item x="112"/>
        <item x="135"/>
        <item x="33"/>
        <item x="89"/>
        <item x="139"/>
        <item x="133"/>
        <item x="87"/>
        <item x="122"/>
        <item x="117"/>
        <item x="138"/>
        <item x="40"/>
        <item x="59"/>
        <item x="142"/>
        <item x="91"/>
        <item x="24"/>
        <item x="116"/>
        <item x="109"/>
        <item x="115"/>
        <item x="70"/>
        <item x="108"/>
        <item x="72"/>
        <item x="118"/>
        <item x="149"/>
        <item x="56"/>
        <item x="128"/>
        <item x="124"/>
        <item x="134"/>
        <item x="143"/>
        <item x="23"/>
        <item x="83"/>
        <item x="146"/>
        <item x="14"/>
        <item x="88"/>
        <item x="46"/>
        <item x="52"/>
        <item x="7"/>
        <item x="101"/>
        <item x="93"/>
        <item x="60"/>
        <item x="148"/>
        <item x="140"/>
        <item x="126"/>
        <item x="123"/>
        <item x="107"/>
        <item x="119"/>
        <item x="65"/>
        <item x="12"/>
        <item x="51"/>
        <item x="137"/>
        <item x="113"/>
        <item x="145"/>
        <item x="75"/>
        <item x="102"/>
        <item x="106"/>
        <item x="69"/>
        <item x="130"/>
        <item x="66"/>
        <item x="11"/>
        <item x="68"/>
        <item x="105"/>
        <item x="67"/>
        <item x="136"/>
        <item x="100"/>
        <item x="132"/>
        <item x="99"/>
        <item x="77"/>
        <item x="16"/>
        <item x="74"/>
        <item x="36"/>
        <item x="81"/>
        <item x="47"/>
        <item x="9"/>
        <item x="103"/>
        <item x="57"/>
        <item x="147"/>
        <item x="63"/>
        <item x="43"/>
        <item x="35"/>
        <item x="25"/>
        <item x="110"/>
        <item x="141"/>
        <item x="114"/>
        <item x="82"/>
        <item x="129"/>
        <item x="41"/>
        <item x="42"/>
        <item x="121"/>
        <item x="48"/>
        <item x="78"/>
        <item x="62"/>
        <item x="104"/>
        <item x="13"/>
        <item x="0"/>
        <item x="79"/>
        <item x="50"/>
        <item x="98"/>
        <item x="64"/>
        <item x="45"/>
        <item x="22"/>
        <item x="53"/>
        <item x="34"/>
        <item x="71"/>
        <item x="54"/>
        <item x="28"/>
        <item x="1"/>
        <item x="80"/>
        <item x="55"/>
        <item x="96"/>
        <item x="19"/>
        <item x="76"/>
        <item x="20"/>
        <item x="5"/>
        <item x="30"/>
        <item x="21"/>
        <item x="37"/>
        <item x="31"/>
        <item x="32"/>
        <item x="18"/>
        <item x="61"/>
        <item x="39"/>
        <item x="26"/>
        <item x="8"/>
        <item x="29"/>
        <item x="15"/>
        <item x="27"/>
        <item x="3"/>
        <item x="38"/>
        <item x="10"/>
        <item x="4"/>
        <item x="6"/>
        <item x="17"/>
        <item x="49"/>
        <item x="2"/>
        <item x="95"/>
        <item t="default"/>
      </items>
    </pivotField>
    <pivotField showAll="0"/>
    <pivotField showAll="0"/>
    <pivotField showAll="0">
      <items count="9">
        <item x="7"/>
        <item x="5"/>
        <item x="1"/>
        <item x="3"/>
        <item x="0"/>
        <item x="4"/>
        <item x="6"/>
        <item x="2"/>
        <item t="default"/>
      </items>
    </pivotField>
    <pivotField showAll="0">
      <items count="5">
        <item x="3"/>
        <item x="2"/>
        <item x="1"/>
        <item x="0"/>
        <item t="default"/>
      </items>
    </pivotField>
    <pivotField showAll="0"/>
    <pivotField showAll="0"/>
    <pivotField showAll="0">
      <items count="5">
        <item x="3"/>
        <item x="1"/>
        <item x="0"/>
        <item x="2"/>
        <item t="default"/>
      </items>
    </pivotField>
    <pivotField showAll="0"/>
    <pivotField showAll="0"/>
    <pivotField showAll="0"/>
    <pivotField showAll="0"/>
    <pivotField showAll="0">
      <items count="10">
        <item x="5"/>
        <item x="4"/>
        <item x="3"/>
        <item x="6"/>
        <item x="7"/>
        <item x="0"/>
        <item x="8"/>
        <item x="2"/>
        <item x="1"/>
        <item t="default"/>
      </items>
    </pivotField>
    <pivotField dataField="1" showAll="0"/>
  </pivotFields>
  <rowFields count="1">
    <field x="0"/>
  </rowFields>
  <rowItems count="11">
    <i>
      <x v="134"/>
    </i>
    <i>
      <x v="136"/>
    </i>
    <i>
      <x v="137"/>
    </i>
    <i>
      <x v="138"/>
    </i>
    <i>
      <x v="140"/>
    </i>
    <i>
      <x v="142"/>
    </i>
    <i>
      <x v="143"/>
    </i>
    <i>
      <x v="144"/>
    </i>
    <i>
      <x v="145"/>
    </i>
    <i>
      <x v="146"/>
    </i>
    <i t="grand">
      <x/>
    </i>
  </rowItems>
  <colItems count="1">
    <i/>
  </colItems>
  <dataFields count="1">
    <dataField name="Sum of Units_Sold" fld="13" baseField="0" baseItem="0"/>
  </dataFields>
  <chartFormats count="3">
    <chartFormat chart="5" format="1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0E79CE-EC06-4D65-9504-6938BA93A6E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7:E28" firstHeaderRow="1" firstDataRow="1" firstDataCol="1"/>
  <pivotFields count="14">
    <pivotField axis="axisRow" showAll="0" measureFilter="1">
      <items count="151">
        <item x="125"/>
        <item x="144"/>
        <item x="92"/>
        <item x="85"/>
        <item x="120"/>
        <item x="131"/>
        <item x="127"/>
        <item x="111"/>
        <item x="58"/>
        <item x="86"/>
        <item x="94"/>
        <item x="84"/>
        <item x="97"/>
        <item x="73"/>
        <item x="44"/>
        <item x="90"/>
        <item x="112"/>
        <item x="135"/>
        <item x="33"/>
        <item x="89"/>
        <item x="139"/>
        <item x="133"/>
        <item x="87"/>
        <item x="122"/>
        <item x="117"/>
        <item x="138"/>
        <item x="40"/>
        <item x="59"/>
        <item x="142"/>
        <item x="91"/>
        <item x="24"/>
        <item x="116"/>
        <item x="109"/>
        <item x="115"/>
        <item x="70"/>
        <item x="108"/>
        <item x="72"/>
        <item x="118"/>
        <item x="149"/>
        <item x="56"/>
        <item x="128"/>
        <item x="124"/>
        <item x="134"/>
        <item x="143"/>
        <item x="23"/>
        <item x="83"/>
        <item x="146"/>
        <item x="14"/>
        <item x="88"/>
        <item x="46"/>
        <item x="52"/>
        <item x="7"/>
        <item x="101"/>
        <item x="93"/>
        <item x="60"/>
        <item x="148"/>
        <item x="140"/>
        <item x="126"/>
        <item x="123"/>
        <item x="107"/>
        <item x="119"/>
        <item x="65"/>
        <item x="12"/>
        <item x="51"/>
        <item x="137"/>
        <item x="113"/>
        <item x="145"/>
        <item x="75"/>
        <item x="102"/>
        <item x="106"/>
        <item x="69"/>
        <item x="130"/>
        <item x="66"/>
        <item x="11"/>
        <item x="68"/>
        <item x="105"/>
        <item x="67"/>
        <item x="136"/>
        <item x="100"/>
        <item x="132"/>
        <item x="99"/>
        <item x="77"/>
        <item x="16"/>
        <item x="74"/>
        <item x="36"/>
        <item x="81"/>
        <item x="47"/>
        <item x="9"/>
        <item x="103"/>
        <item x="57"/>
        <item x="147"/>
        <item x="63"/>
        <item x="43"/>
        <item x="35"/>
        <item x="25"/>
        <item x="110"/>
        <item x="141"/>
        <item x="114"/>
        <item x="82"/>
        <item x="129"/>
        <item x="41"/>
        <item x="42"/>
        <item x="121"/>
        <item x="48"/>
        <item x="78"/>
        <item x="62"/>
        <item x="104"/>
        <item x="13"/>
        <item x="0"/>
        <item x="79"/>
        <item x="50"/>
        <item x="98"/>
        <item x="64"/>
        <item x="45"/>
        <item x="22"/>
        <item x="53"/>
        <item x="34"/>
        <item x="71"/>
        <item x="54"/>
        <item x="28"/>
        <item x="1"/>
        <item x="80"/>
        <item x="55"/>
        <item x="96"/>
        <item x="19"/>
        <item x="76"/>
        <item x="20"/>
        <item x="5"/>
        <item x="30"/>
        <item x="21"/>
        <item x="37"/>
        <item x="31"/>
        <item x="32"/>
        <item x="18"/>
        <item x="61"/>
        <item x="39"/>
        <item x="26"/>
        <item x="8"/>
        <item x="29"/>
        <item x="15"/>
        <item x="27"/>
        <item x="3"/>
        <item x="38"/>
        <item x="10"/>
        <item x="4"/>
        <item x="6"/>
        <item x="17"/>
        <item x="49"/>
        <item x="2"/>
        <item x="95"/>
        <item t="default"/>
      </items>
    </pivotField>
    <pivotField showAll="0"/>
    <pivotField showAll="0"/>
    <pivotField showAll="0">
      <items count="9">
        <item x="7"/>
        <item x="5"/>
        <item x="1"/>
        <item x="3"/>
        <item x="0"/>
        <item x="4"/>
        <item x="6"/>
        <item x="2"/>
        <item t="default"/>
      </items>
    </pivotField>
    <pivotField showAll="0">
      <items count="5">
        <item x="3"/>
        <item x="2"/>
        <item x="1"/>
        <item x="0"/>
        <item t="default"/>
      </items>
    </pivotField>
    <pivotField dataField="1" showAll="0"/>
    <pivotField showAll="0"/>
    <pivotField showAll="0">
      <items count="5">
        <item x="3"/>
        <item x="1"/>
        <item x="0"/>
        <item x="2"/>
        <item t="default"/>
      </items>
    </pivotField>
    <pivotField showAll="0"/>
    <pivotField showAll="0"/>
    <pivotField showAll="0"/>
    <pivotField showAll="0"/>
    <pivotField showAll="0">
      <items count="10">
        <item x="5"/>
        <item x="4"/>
        <item x="3"/>
        <item x="6"/>
        <item x="7"/>
        <item x="0"/>
        <item x="8"/>
        <item x="2"/>
        <item x="1"/>
        <item t="default"/>
      </items>
    </pivotField>
    <pivotField showAll="0"/>
  </pivotFields>
  <rowFields count="1">
    <field x="0"/>
  </rowFields>
  <rowItems count="11">
    <i>
      <x v="136"/>
    </i>
    <i>
      <x v="138"/>
    </i>
    <i>
      <x v="139"/>
    </i>
    <i>
      <x v="140"/>
    </i>
    <i>
      <x v="141"/>
    </i>
    <i>
      <x v="142"/>
    </i>
    <i>
      <x v="143"/>
    </i>
    <i>
      <x v="144"/>
    </i>
    <i>
      <x v="145"/>
    </i>
    <i>
      <x v="147"/>
    </i>
    <i t="grand">
      <x/>
    </i>
  </rowItems>
  <colItems count="1">
    <i/>
  </colItems>
  <dataFields count="1">
    <dataField name="Sum of Book_Average_Rating" fld="5" baseField="0" baseItem="0"/>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6EBB0D-784D-4DBB-9BC4-00FD97D218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7:C38" firstHeaderRow="0" firstDataRow="1" firstDataCol="1"/>
  <pivotFields count="14">
    <pivotField axis="axisRow" showAll="0" measureFilter="1">
      <items count="151">
        <item x="125"/>
        <item x="144"/>
        <item x="92"/>
        <item x="85"/>
        <item x="120"/>
        <item x="131"/>
        <item x="127"/>
        <item x="111"/>
        <item x="58"/>
        <item x="86"/>
        <item x="94"/>
        <item x="84"/>
        <item x="97"/>
        <item x="73"/>
        <item x="44"/>
        <item x="90"/>
        <item x="112"/>
        <item x="135"/>
        <item x="33"/>
        <item x="89"/>
        <item x="139"/>
        <item x="133"/>
        <item x="87"/>
        <item x="122"/>
        <item x="117"/>
        <item x="138"/>
        <item x="40"/>
        <item x="59"/>
        <item x="142"/>
        <item x="91"/>
        <item x="24"/>
        <item x="116"/>
        <item x="109"/>
        <item x="115"/>
        <item x="70"/>
        <item x="108"/>
        <item x="72"/>
        <item x="118"/>
        <item x="149"/>
        <item x="56"/>
        <item x="128"/>
        <item x="124"/>
        <item x="134"/>
        <item x="143"/>
        <item x="23"/>
        <item x="83"/>
        <item x="146"/>
        <item x="14"/>
        <item x="88"/>
        <item x="46"/>
        <item x="52"/>
        <item x="7"/>
        <item x="101"/>
        <item x="93"/>
        <item x="60"/>
        <item x="148"/>
        <item x="140"/>
        <item x="126"/>
        <item x="123"/>
        <item x="107"/>
        <item x="119"/>
        <item x="65"/>
        <item x="12"/>
        <item x="51"/>
        <item x="137"/>
        <item x="113"/>
        <item x="145"/>
        <item x="75"/>
        <item x="102"/>
        <item x="106"/>
        <item x="69"/>
        <item x="130"/>
        <item x="66"/>
        <item x="11"/>
        <item x="68"/>
        <item x="105"/>
        <item x="67"/>
        <item x="136"/>
        <item x="100"/>
        <item x="132"/>
        <item x="99"/>
        <item x="77"/>
        <item x="16"/>
        <item x="74"/>
        <item x="36"/>
        <item x="81"/>
        <item x="47"/>
        <item x="9"/>
        <item x="103"/>
        <item x="57"/>
        <item x="147"/>
        <item x="63"/>
        <item x="43"/>
        <item x="35"/>
        <item x="25"/>
        <item x="110"/>
        <item x="141"/>
        <item x="114"/>
        <item x="82"/>
        <item x="129"/>
        <item x="41"/>
        <item x="42"/>
        <item x="121"/>
        <item x="48"/>
        <item x="78"/>
        <item x="62"/>
        <item x="104"/>
        <item x="13"/>
        <item x="0"/>
        <item x="79"/>
        <item x="50"/>
        <item x="98"/>
        <item x="64"/>
        <item x="45"/>
        <item x="22"/>
        <item x="53"/>
        <item x="34"/>
        <item x="71"/>
        <item x="54"/>
        <item x="28"/>
        <item x="1"/>
        <item x="80"/>
        <item x="55"/>
        <item x="96"/>
        <item x="19"/>
        <item x="76"/>
        <item x="20"/>
        <item x="5"/>
        <item x="30"/>
        <item x="21"/>
        <item x="37"/>
        <item x="31"/>
        <item x="32"/>
        <item x="18"/>
        <item x="61"/>
        <item x="39"/>
        <item x="26"/>
        <item x="8"/>
        <item x="29"/>
        <item x="15"/>
        <item x="27"/>
        <item x="3"/>
        <item x="38"/>
        <item x="10"/>
        <item x="4"/>
        <item x="6"/>
        <item x="17"/>
        <item x="49"/>
        <item x="2"/>
        <item x="95"/>
        <item t="default"/>
      </items>
    </pivotField>
    <pivotField showAll="0"/>
    <pivotField showAll="0"/>
    <pivotField showAll="0">
      <items count="9">
        <item x="7"/>
        <item x="5"/>
        <item x="1"/>
        <item x="3"/>
        <item x="0"/>
        <item x="4"/>
        <item x="6"/>
        <item x="2"/>
        <item t="default"/>
      </items>
    </pivotField>
    <pivotField showAll="0">
      <items count="5">
        <item x="3"/>
        <item x="2"/>
        <item x="1"/>
        <item x="0"/>
        <item t="default"/>
      </items>
    </pivotField>
    <pivotField showAll="0"/>
    <pivotField showAll="0"/>
    <pivotField showAll="0">
      <items count="5">
        <item x="3"/>
        <item x="1"/>
        <item x="0"/>
        <item x="2"/>
        <item t="default"/>
      </items>
    </pivotField>
    <pivotField dataField="1" showAll="0"/>
    <pivotField showAll="0"/>
    <pivotField showAll="0"/>
    <pivotField showAll="0"/>
    <pivotField showAll="0">
      <items count="10">
        <item x="5"/>
        <item x="4"/>
        <item x="3"/>
        <item x="6"/>
        <item x="7"/>
        <item x="0"/>
        <item x="8"/>
        <item x="2"/>
        <item x="1"/>
        <item t="default"/>
      </items>
    </pivotField>
    <pivotField showAll="0"/>
  </pivotFields>
  <rowFields count="1">
    <field x="0"/>
  </rowFields>
  <rowItems count="11">
    <i>
      <x v="128"/>
    </i>
    <i>
      <x v="136"/>
    </i>
    <i>
      <x v="139"/>
    </i>
    <i>
      <x v="140"/>
    </i>
    <i>
      <x v="141"/>
    </i>
    <i>
      <x v="142"/>
    </i>
    <i>
      <x v="143"/>
    </i>
    <i>
      <x v="144"/>
    </i>
    <i>
      <x v="145"/>
    </i>
    <i>
      <x v="148"/>
    </i>
    <i t="grand">
      <x/>
    </i>
  </rowItems>
  <colFields count="1">
    <field x="-2"/>
  </colFields>
  <colItems count="2">
    <i>
      <x/>
    </i>
    <i i="1">
      <x v="1"/>
    </i>
  </colItems>
  <dataFields count="2">
    <dataField name="Sum of Gross_Sales" fld="8" baseField="0" baseItem="14"/>
    <dataField name="Average of Gross_Sales2" fld="8" subtotal="average" baseField="0" baseItem="128"/>
  </dataField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6F1086-2D73-41AD-A6A2-0AD724D1BC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B22" firstHeaderRow="1" firstDataRow="1" firstDataCol="1"/>
  <pivotFields count="14">
    <pivotField showAll="0"/>
    <pivotField showAll="0"/>
    <pivotField showAll="0"/>
    <pivotField showAll="0">
      <items count="9">
        <item x="7"/>
        <item x="5"/>
        <item x="1"/>
        <item x="3"/>
        <item x="0"/>
        <item x="4"/>
        <item x="6"/>
        <item x="2"/>
        <item t="default"/>
      </items>
    </pivotField>
    <pivotField showAll="0">
      <items count="5">
        <item x="3"/>
        <item x="2"/>
        <item x="1"/>
        <item x="0"/>
        <item t="default"/>
      </items>
    </pivotField>
    <pivotField showAll="0"/>
    <pivotField showAll="0"/>
    <pivotField axis="axisRow" showAll="0">
      <items count="5">
        <item x="3"/>
        <item x="1"/>
        <item x="0"/>
        <item x="2"/>
        <item t="default"/>
      </items>
    </pivotField>
    <pivotField showAll="0"/>
    <pivotField showAll="0"/>
    <pivotField showAll="0"/>
    <pivotField showAll="0"/>
    <pivotField showAll="0">
      <items count="10">
        <item x="5"/>
        <item x="4"/>
        <item x="3"/>
        <item x="6"/>
        <item x="7"/>
        <item x="0"/>
        <item x="8"/>
        <item x="2"/>
        <item x="1"/>
        <item t="default"/>
      </items>
    </pivotField>
    <pivotField dataField="1" showAll="0"/>
  </pivotFields>
  <rowFields count="1">
    <field x="7"/>
  </rowFields>
  <rowItems count="5">
    <i>
      <x/>
    </i>
    <i>
      <x v="1"/>
    </i>
    <i>
      <x v="2"/>
    </i>
    <i>
      <x v="3"/>
    </i>
    <i t="grand">
      <x/>
    </i>
  </rowItems>
  <colItems count="1">
    <i/>
  </colItems>
  <dataFields count="1">
    <dataField name="Sum of Units_Sold" fld="13" baseField="0" baseItem="0"/>
  </dataFields>
  <chartFormats count="5">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7" count="1" selected="0">
            <x v="0"/>
          </reference>
        </references>
      </pivotArea>
    </chartFormat>
    <chartFormat chart="5" format="13">
      <pivotArea type="data" outline="0" fieldPosition="0">
        <references count="2">
          <reference field="4294967294" count="1" selected="0">
            <x v="0"/>
          </reference>
          <reference field="7" count="1" selected="0">
            <x v="1"/>
          </reference>
        </references>
      </pivotArea>
    </chartFormat>
    <chartFormat chart="5" format="14">
      <pivotArea type="data" outline="0" fieldPosition="0">
        <references count="2">
          <reference field="4294967294" count="1" selected="0">
            <x v="0"/>
          </reference>
          <reference field="7" count="1" selected="0">
            <x v="2"/>
          </reference>
        </references>
      </pivotArea>
    </chartFormat>
    <chartFormat chart="5" format="1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BA2C20-E7F1-4CB6-B04A-32CC6B5646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12:G21" firstHeaderRow="1" firstDataRow="1" firstDataCol="1"/>
  <pivotFields count="14">
    <pivotField showAll="0" measureFilter="1">
      <items count="151">
        <item x="125"/>
        <item x="144"/>
        <item x="92"/>
        <item x="85"/>
        <item x="120"/>
        <item x="131"/>
        <item x="127"/>
        <item x="111"/>
        <item x="58"/>
        <item x="86"/>
        <item x="94"/>
        <item x="84"/>
        <item x="97"/>
        <item x="73"/>
        <item x="44"/>
        <item x="90"/>
        <item x="112"/>
        <item x="135"/>
        <item x="33"/>
        <item x="89"/>
        <item x="139"/>
        <item x="133"/>
        <item x="87"/>
        <item x="122"/>
        <item x="117"/>
        <item x="138"/>
        <item x="40"/>
        <item x="59"/>
        <item x="142"/>
        <item x="91"/>
        <item x="24"/>
        <item x="116"/>
        <item x="109"/>
        <item x="115"/>
        <item x="70"/>
        <item x="108"/>
        <item x="72"/>
        <item x="118"/>
        <item x="149"/>
        <item x="56"/>
        <item x="128"/>
        <item x="124"/>
        <item x="134"/>
        <item x="143"/>
        <item x="23"/>
        <item x="83"/>
        <item x="146"/>
        <item x="14"/>
        <item x="88"/>
        <item x="46"/>
        <item x="52"/>
        <item x="7"/>
        <item x="101"/>
        <item x="93"/>
        <item x="60"/>
        <item x="148"/>
        <item x="140"/>
        <item x="126"/>
        <item x="123"/>
        <item x="107"/>
        <item x="119"/>
        <item x="65"/>
        <item x="12"/>
        <item x="51"/>
        <item x="137"/>
        <item x="113"/>
        <item x="145"/>
        <item x="75"/>
        <item x="102"/>
        <item x="106"/>
        <item x="69"/>
        <item x="130"/>
        <item x="66"/>
        <item x="11"/>
        <item x="68"/>
        <item x="105"/>
        <item x="67"/>
        <item x="136"/>
        <item x="100"/>
        <item x="132"/>
        <item x="99"/>
        <item x="77"/>
        <item x="16"/>
        <item x="74"/>
        <item x="36"/>
        <item x="81"/>
        <item x="47"/>
        <item x="9"/>
        <item x="103"/>
        <item x="57"/>
        <item x="147"/>
        <item x="63"/>
        <item x="43"/>
        <item x="35"/>
        <item x="25"/>
        <item x="110"/>
        <item x="141"/>
        <item x="114"/>
        <item x="82"/>
        <item x="129"/>
        <item x="41"/>
        <item x="42"/>
        <item x="121"/>
        <item x="48"/>
        <item x="78"/>
        <item x="62"/>
        <item x="104"/>
        <item x="13"/>
        <item x="0"/>
        <item x="79"/>
        <item x="50"/>
        <item x="98"/>
        <item x="64"/>
        <item x="45"/>
        <item x="22"/>
        <item x="53"/>
        <item x="34"/>
        <item x="71"/>
        <item x="54"/>
        <item x="28"/>
        <item x="1"/>
        <item x="80"/>
        <item x="55"/>
        <item x="96"/>
        <item x="19"/>
        <item x="76"/>
        <item x="20"/>
        <item x="5"/>
        <item x="30"/>
        <item x="21"/>
        <item x="37"/>
        <item x="31"/>
        <item x="32"/>
        <item x="18"/>
        <item x="61"/>
        <item x="39"/>
        <item x="26"/>
        <item x="8"/>
        <item x="29"/>
        <item x="15"/>
        <item x="27"/>
        <item x="3"/>
        <item x="38"/>
        <item x="10"/>
        <item x="4"/>
        <item x="6"/>
        <item x="17"/>
        <item x="49"/>
        <item x="2"/>
        <item x="95"/>
        <item t="default"/>
      </items>
    </pivotField>
    <pivotField showAll="0"/>
    <pivotField showAll="0"/>
    <pivotField axis="axisRow" showAll="0">
      <items count="9">
        <item x="7"/>
        <item x="5"/>
        <item x="1"/>
        <item x="3"/>
        <item x="0"/>
        <item x="4"/>
        <item x="6"/>
        <item x="2"/>
        <item t="default"/>
      </items>
    </pivotField>
    <pivotField showAll="0">
      <items count="5">
        <item x="3"/>
        <item x="2"/>
        <item x="1"/>
        <item x="0"/>
        <item t="default"/>
      </items>
    </pivotField>
    <pivotField showAll="0"/>
    <pivotField showAll="0"/>
    <pivotField showAll="0">
      <items count="5">
        <item x="3"/>
        <item x="1"/>
        <item x="0"/>
        <item x="2"/>
        <item t="default"/>
      </items>
    </pivotField>
    <pivotField showAll="0"/>
    <pivotField showAll="0"/>
    <pivotField showAll="0"/>
    <pivotField showAll="0"/>
    <pivotField showAll="0">
      <items count="10">
        <item x="5"/>
        <item x="4"/>
        <item x="3"/>
        <item x="6"/>
        <item x="7"/>
        <item x="0"/>
        <item x="8"/>
        <item x="2"/>
        <item x="1"/>
        <item t="default"/>
      </items>
    </pivotField>
    <pivotField dataField="1" showAll="0"/>
  </pivotFields>
  <rowFields count="1">
    <field x="3"/>
  </rowFields>
  <rowItems count="9">
    <i>
      <x/>
    </i>
    <i>
      <x v="1"/>
    </i>
    <i>
      <x v="2"/>
    </i>
    <i>
      <x v="3"/>
    </i>
    <i>
      <x v="4"/>
    </i>
    <i>
      <x v="5"/>
    </i>
    <i>
      <x v="6"/>
    </i>
    <i>
      <x v="7"/>
    </i>
    <i t="grand">
      <x/>
    </i>
  </rowItems>
  <colItems count="1">
    <i/>
  </colItems>
  <dataFields count="1">
    <dataField name="Sum of Units_Sold" fld="13" baseField="0" baseItem="0"/>
  </dataFields>
  <chartFormats count="3">
    <chartFormat chart="5" format="1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1873B6-69B5-4149-AC9B-F06FCC99924E}" autoFormatId="16" applyNumberFormats="0" applyBorderFormats="0" applyFontFormats="0" applyPatternFormats="0" applyAlignmentFormats="0" applyWidthHeightFormats="0">
  <queryTableRefresh nextId="15">
    <queryTableFields count="14">
      <queryTableField id="1" name="Publishing_Year" tableColumnId="1"/>
      <queryTableField id="2" name="Book_Name" tableColumnId="2"/>
      <queryTableField id="3" name="Author" tableColumnId="3"/>
      <queryTableField id="4" name="Language_Code" tableColumnId="4"/>
      <queryTableField id="5" name="Author_Rating" tableColumnId="5"/>
      <queryTableField id="6" name="Book_Average_Rating" tableColumnId="6"/>
      <queryTableField id="7" name="Book_Ratings_Count" tableColumnId="7"/>
      <queryTableField id="8" name="Genre" tableColumnId="8"/>
      <queryTableField id="9" name="Gross_Sales" tableColumnId="9"/>
      <queryTableField id="10" name="Publisher_Revenue" tableColumnId="10"/>
      <queryTableField id="11" name="Sale_Price" tableColumnId="11"/>
      <queryTableField id="12" name="Sale_Rank" tableColumnId="12"/>
      <queryTableField id="13" name="Publisher" tableColumnId="13"/>
      <queryTableField id="14" name="Units_Sold"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_Code" xr10:uid="{233F0A7E-9FD7-407B-9D0E-39C4A1D6BEAA}" sourceName="Language_Code">
  <pivotTables>
    <pivotTable tabId="5" name="PivotTable1"/>
    <pivotTable tabId="5" name="PivotTable2"/>
    <pivotTable tabId="5" name="PivotTable3"/>
    <pivotTable tabId="5" name="PivotTable6"/>
    <pivotTable tabId="5" name="PivotTable7"/>
    <pivotTable tabId="5" name="PivotTable8"/>
    <pivotTable tabId="5" name="PivotTable9"/>
    <pivotTable tabId="5" name="PivotTable10"/>
  </pivotTables>
  <data>
    <tabular pivotCacheId="2120810013">
      <items count="8">
        <i x="7" s="1"/>
        <i x="5" s="1"/>
        <i x="1" s="1"/>
        <i x="3" s="1"/>
        <i x="0" s="1"/>
        <i x="4"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thor_Rating" xr10:uid="{46F3AE49-C4D6-4C67-AF99-E32BA9C0E3F9}" sourceName="Author_Rating">
  <pivotTables>
    <pivotTable tabId="5" name="PivotTable1"/>
    <pivotTable tabId="5" name="PivotTable2"/>
    <pivotTable tabId="5" name="PivotTable3"/>
    <pivotTable tabId="5" name="PivotTable6"/>
    <pivotTable tabId="5" name="PivotTable7"/>
    <pivotTable tabId="5" name="PivotTable8"/>
    <pivotTable tabId="5" name="PivotTable9"/>
    <pivotTable tabId="5" name="PivotTable10"/>
  </pivotTables>
  <data>
    <tabular pivotCacheId="2120810013">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 xr10:uid="{7A24727D-1597-4890-97D9-D42900688443}" sourceName="Publisher">
  <pivotTables>
    <pivotTable tabId="5" name="PivotTable7"/>
    <pivotTable tabId="5" name="PivotTable1"/>
    <pivotTable tabId="5" name="PivotTable2"/>
    <pivotTable tabId="5" name="PivotTable3"/>
    <pivotTable tabId="5" name="PivotTable6"/>
    <pivotTable tabId="5" name="PivotTable8"/>
    <pivotTable tabId="5" name="PivotTable9"/>
    <pivotTable tabId="5" name="PivotTable10"/>
  </pivotTables>
  <data>
    <tabular pivotCacheId="2120810013">
      <items count="9">
        <i x="1" s="1"/>
        <i x="2" s="1"/>
        <i x="8" s="1"/>
        <i x="0" s="1"/>
        <i x="7" s="1"/>
        <i x="6"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E8467C4C-F5F9-4B89-B10C-2AC52EE69A2C}" sourceName="Genre">
  <pivotTables>
    <pivotTable tabId="5" name="PivotTable9"/>
    <pivotTable tabId="5" name="PivotTable10"/>
  </pivotTables>
  <data>
    <tabular pivotCacheId="2120810013">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nguage_Code" xr10:uid="{A26E26D8-B872-477A-AC0A-60C53CA5578D}" cache="Slicer_Language_Code" caption="Language_Code" columnCount="4" rowHeight="247650"/>
  <slicer name="Author_Rating" xr10:uid="{BC1863ED-22DE-4C01-AC30-CBE7470E30FB}" cache="Slicer_Author_Rating" caption="Author_Rating" columnCount="2" rowHeight="247650"/>
  <slicer name="Publisher" xr10:uid="{1072EC4E-76ED-47D8-9BBA-1CD2FE7C5B63}" cache="Slicer_Publisher" caption="Publisher" columnCount="2" style="SlicerStyleLight4" rowHeight="247650"/>
  <slicer name="Genre" xr10:uid="{0C521138-878A-43CC-8E88-6EC59B7AB9C1}" cache="Slicer_Genre" caption="Genr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DC4A9F-2BE6-412F-A65E-DACAD2FF4487}" name="Sheet1" displayName="Sheet1" ref="A1:N1071" tableType="queryTable" totalsRowShown="0">
  <autoFilter ref="A1:N1071" xr:uid="{7BDC4A9F-2BE6-412F-A65E-DACAD2FF4487}"/>
  <tableColumns count="14">
    <tableColumn id="1" xr3:uid="{B98301C0-8D32-43AA-B8F9-583C99AB425D}" uniqueName="1" name="Publishing_Year" queryTableFieldId="1"/>
    <tableColumn id="2" xr3:uid="{D460F266-95F0-42A1-AD37-448AAB1C28FF}" uniqueName="2" name="Book_Name" queryTableFieldId="2" dataDxfId="5"/>
    <tableColumn id="3" xr3:uid="{FF3F6DE2-CFF8-4C68-A13B-A413B28D98FC}" uniqueName="3" name="Author" queryTableFieldId="3" dataDxfId="4"/>
    <tableColumn id="4" xr3:uid="{1023CD7A-764D-4BDC-81EE-6C064484B017}" uniqueName="4" name="Language_Code" queryTableFieldId="4" dataDxfId="3"/>
    <tableColumn id="5" xr3:uid="{72F7B619-738E-4E3A-BFC3-D69189CED9F1}" uniqueName="5" name="Author_Rating" queryTableFieldId="5" dataDxfId="2"/>
    <tableColumn id="6" xr3:uid="{A329615E-118B-4A98-886F-D0F4FF03C7C0}" uniqueName="6" name="Book_Average_Rating" queryTableFieldId="6"/>
    <tableColumn id="7" xr3:uid="{1789CF51-02D3-4A26-BC68-4230605EBF13}" uniqueName="7" name="Book_Ratings_Count" queryTableFieldId="7"/>
    <tableColumn id="8" xr3:uid="{5809DFD6-E305-4E30-AFA4-C36C50357590}" uniqueName="8" name="Genre" queryTableFieldId="8" dataDxfId="1"/>
    <tableColumn id="9" xr3:uid="{1964D486-35A8-4A47-8363-6EC000573F9E}" uniqueName="9" name="Gross_Sales" queryTableFieldId="9"/>
    <tableColumn id="10" xr3:uid="{BB895C4C-6024-4E15-8791-A51B4F93456C}" uniqueName="10" name="Publisher_Revenue" queryTableFieldId="10"/>
    <tableColumn id="11" xr3:uid="{397349FC-7C7A-4B84-9069-EE71F47B8496}" uniqueName="11" name="Sale_Price" queryTableFieldId="11"/>
    <tableColumn id="12" xr3:uid="{7ADEE9BD-ACBA-4E2F-A6FA-9E5639B74FC5}" uniqueName="12" name="Sale_Rank" queryTableFieldId="12"/>
    <tableColumn id="13" xr3:uid="{D2FC4A3D-9A6F-4530-938D-F01EBF27B99C}" uniqueName="13" name="Publisher" queryTableFieldId="13" dataDxfId="0"/>
    <tableColumn id="14" xr3:uid="{009A695B-BA82-4F29-8A26-40B04C13CC2D}" uniqueName="14" name="Units_Sold"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81BC7-17D4-4F91-B88B-4B3293D61958}">
  <dimension ref="A3:N42"/>
  <sheetViews>
    <sheetView workbookViewId="0">
      <selection activeCell="I6" sqref="I6"/>
    </sheetView>
  </sheetViews>
  <sheetFormatPr defaultRowHeight="14.4" x14ac:dyDescent="0.3"/>
  <cols>
    <col min="1" max="1" width="12.44140625" bestFit="1" customWidth="1"/>
    <col min="2" max="2" width="17.33203125" bestFit="1" customWidth="1"/>
    <col min="3" max="3" width="21.109375" bestFit="1" customWidth="1"/>
    <col min="4" max="4" width="12.44140625" bestFit="1" customWidth="1"/>
    <col min="5" max="5" width="24.77734375" bestFit="1" customWidth="1"/>
    <col min="6" max="6" width="12.44140625" bestFit="1" customWidth="1"/>
    <col min="7" max="7" width="16" bestFit="1" customWidth="1"/>
    <col min="8" max="8" width="12.44140625" bestFit="1" customWidth="1"/>
    <col min="9" max="9" width="16" bestFit="1" customWidth="1"/>
    <col min="12" max="12" width="45.109375" bestFit="1" customWidth="1"/>
    <col min="13" max="13" width="16" bestFit="1" customWidth="1"/>
    <col min="14" max="14" width="17.33203125" bestFit="1" customWidth="1"/>
  </cols>
  <sheetData>
    <row r="3" spans="1:13" x14ac:dyDescent="0.3">
      <c r="A3" s="1" t="s">
        <v>1819</v>
      </c>
      <c r="B3" t="s">
        <v>1821</v>
      </c>
      <c r="H3">
        <f>GETPIVOTDATA("Gross_Sales",$A$3)</f>
        <v>1986586.5500000012</v>
      </c>
    </row>
    <row r="4" spans="1:13" x14ac:dyDescent="0.3">
      <c r="A4" s="2" t="s">
        <v>26</v>
      </c>
      <c r="B4">
        <v>729809.01000000106</v>
      </c>
    </row>
    <row r="5" spans="1:13" x14ac:dyDescent="0.3">
      <c r="A5" s="2" t="s">
        <v>33</v>
      </c>
      <c r="B5">
        <v>356362.47000000015</v>
      </c>
    </row>
    <row r="6" spans="1:13" x14ac:dyDescent="0.3">
      <c r="A6" s="2" t="s">
        <v>45</v>
      </c>
      <c r="B6">
        <v>315975.37</v>
      </c>
      <c r="H6">
        <f>GETPIVOTDATA("Units_Sold",$A$17)/100</f>
        <v>103543.69</v>
      </c>
      <c r="I6">
        <f>ROUND(H6,0)</f>
        <v>103544</v>
      </c>
    </row>
    <row r="7" spans="1:13" x14ac:dyDescent="0.3">
      <c r="A7" s="2" t="s">
        <v>30</v>
      </c>
      <c r="B7">
        <v>229790.83000000002</v>
      </c>
    </row>
    <row r="8" spans="1:13" x14ac:dyDescent="0.3">
      <c r="A8" s="2" t="s">
        <v>19</v>
      </c>
      <c r="B8">
        <v>214130.43000000005</v>
      </c>
    </row>
    <row r="9" spans="1:13" x14ac:dyDescent="0.3">
      <c r="A9" s="2" t="s">
        <v>65</v>
      </c>
      <c r="B9">
        <v>78313.919999999984</v>
      </c>
      <c r="H9">
        <f>GETPIVOTDATA("Book_Average_Rating",$D$17)</f>
        <v>1742.01</v>
      </c>
    </row>
    <row r="10" spans="1:13" x14ac:dyDescent="0.3">
      <c r="A10" s="2" t="s">
        <v>133</v>
      </c>
      <c r="B10">
        <v>53927.059999999983</v>
      </c>
    </row>
    <row r="11" spans="1:13" x14ac:dyDescent="0.3">
      <c r="A11" s="2" t="s">
        <v>379</v>
      </c>
      <c r="B11">
        <v>4718.01</v>
      </c>
    </row>
    <row r="12" spans="1:13" x14ac:dyDescent="0.3">
      <c r="A12" s="2" t="s">
        <v>582</v>
      </c>
      <c r="B12">
        <v>3559.45</v>
      </c>
      <c r="F12" s="1" t="s">
        <v>1819</v>
      </c>
      <c r="G12" t="s">
        <v>1822</v>
      </c>
    </row>
    <row r="13" spans="1:13" x14ac:dyDescent="0.3">
      <c r="A13" s="2" t="s">
        <v>1820</v>
      </c>
      <c r="B13">
        <v>1986586.5500000012</v>
      </c>
      <c r="F13" s="2" t="s">
        <v>1468</v>
      </c>
      <c r="G13">
        <v>7209</v>
      </c>
    </row>
    <row r="14" spans="1:13" x14ac:dyDescent="0.3">
      <c r="F14" s="2" t="s">
        <v>144</v>
      </c>
      <c r="G14">
        <v>12805</v>
      </c>
      <c r="L14" s="1" t="s">
        <v>1819</v>
      </c>
      <c r="M14" t="s">
        <v>1822</v>
      </c>
    </row>
    <row r="15" spans="1:13" x14ac:dyDescent="0.3">
      <c r="F15" s="2" t="s">
        <v>22</v>
      </c>
      <c r="G15">
        <v>7601833</v>
      </c>
      <c r="L15" s="2" t="s">
        <v>1468</v>
      </c>
      <c r="M15">
        <v>7209</v>
      </c>
    </row>
    <row r="16" spans="1:13" x14ac:dyDescent="0.3">
      <c r="F16" s="2" t="s">
        <v>92</v>
      </c>
      <c r="G16">
        <v>245937</v>
      </c>
      <c r="L16" s="2" t="s">
        <v>144</v>
      </c>
      <c r="M16">
        <v>12805</v>
      </c>
    </row>
    <row r="17" spans="1:14" x14ac:dyDescent="0.3">
      <c r="A17" s="1" t="s">
        <v>1819</v>
      </c>
      <c r="B17" t="s">
        <v>1822</v>
      </c>
      <c r="D17" s="1" t="s">
        <v>1819</v>
      </c>
      <c r="E17" t="s">
        <v>1823</v>
      </c>
      <c r="F17" s="2" t="s">
        <v>16</v>
      </c>
      <c r="G17">
        <v>2467242</v>
      </c>
      <c r="L17" s="2" t="s">
        <v>22</v>
      </c>
      <c r="M17">
        <v>7601833</v>
      </c>
    </row>
    <row r="18" spans="1:14" x14ac:dyDescent="0.3">
      <c r="A18" s="2" t="s">
        <v>612</v>
      </c>
      <c r="B18">
        <v>298118</v>
      </c>
      <c r="D18" s="2">
        <v>2003</v>
      </c>
      <c r="E18">
        <v>155.88000000000005</v>
      </c>
      <c r="F18" s="2" t="s">
        <v>120</v>
      </c>
      <c r="G18">
        <v>6915</v>
      </c>
      <c r="L18" s="2" t="s">
        <v>92</v>
      </c>
      <c r="M18">
        <v>245937</v>
      </c>
    </row>
    <row r="19" spans="1:14" x14ac:dyDescent="0.3">
      <c r="A19" s="2" t="s">
        <v>29</v>
      </c>
      <c r="B19">
        <v>545658</v>
      </c>
      <c r="D19" s="2">
        <v>2005</v>
      </c>
      <c r="E19">
        <v>143.16</v>
      </c>
      <c r="F19" s="2" t="s">
        <v>1023</v>
      </c>
      <c r="G19">
        <v>3969</v>
      </c>
      <c r="L19" s="2" t="s">
        <v>16</v>
      </c>
      <c r="M19">
        <v>2467242</v>
      </c>
    </row>
    <row r="20" spans="1:14" x14ac:dyDescent="0.3">
      <c r="A20" s="2" t="s">
        <v>18</v>
      </c>
      <c r="B20">
        <v>7875834</v>
      </c>
      <c r="D20" s="2">
        <v>2006</v>
      </c>
      <c r="E20">
        <v>164.51</v>
      </c>
      <c r="F20" s="2" t="s">
        <v>78</v>
      </c>
      <c r="G20">
        <v>8459</v>
      </c>
      <c r="L20" s="2" t="s">
        <v>120</v>
      </c>
      <c r="M20">
        <v>6915</v>
      </c>
    </row>
    <row r="21" spans="1:14" x14ac:dyDescent="0.3">
      <c r="A21" s="2" t="s">
        <v>40</v>
      </c>
      <c r="B21">
        <v>1634759</v>
      </c>
      <c r="D21" s="2">
        <v>2007</v>
      </c>
      <c r="E21">
        <v>137.51</v>
      </c>
      <c r="F21" s="2" t="s">
        <v>1820</v>
      </c>
      <c r="G21">
        <v>10354369</v>
      </c>
      <c r="H21" s="1" t="s">
        <v>1819</v>
      </c>
      <c r="I21" t="s">
        <v>1822</v>
      </c>
      <c r="L21" s="2" t="s">
        <v>1023</v>
      </c>
      <c r="M21">
        <v>3969</v>
      </c>
    </row>
    <row r="22" spans="1:14" x14ac:dyDescent="0.3">
      <c r="A22" s="2" t="s">
        <v>1820</v>
      </c>
      <c r="B22">
        <v>10354369</v>
      </c>
      <c r="D22" s="2">
        <v>2008</v>
      </c>
      <c r="E22">
        <v>155.9</v>
      </c>
      <c r="H22" s="2">
        <v>2001</v>
      </c>
      <c r="I22">
        <v>291832</v>
      </c>
      <c r="L22" s="2" t="s">
        <v>78</v>
      </c>
      <c r="M22">
        <v>8459</v>
      </c>
    </row>
    <row r="23" spans="1:14" x14ac:dyDescent="0.3">
      <c r="D23" s="2">
        <v>2009</v>
      </c>
      <c r="E23">
        <v>181.81999999999996</v>
      </c>
      <c r="H23" s="2">
        <v>2003</v>
      </c>
      <c r="I23">
        <v>521747</v>
      </c>
      <c r="L23" s="2" t="s">
        <v>1820</v>
      </c>
      <c r="M23">
        <v>10354369</v>
      </c>
    </row>
    <row r="24" spans="1:14" x14ac:dyDescent="0.3">
      <c r="D24" s="2">
        <v>2010</v>
      </c>
      <c r="E24">
        <v>177.2</v>
      </c>
      <c r="H24" s="2">
        <v>2004</v>
      </c>
      <c r="I24">
        <v>324582</v>
      </c>
    </row>
    <row r="25" spans="1:14" x14ac:dyDescent="0.3">
      <c r="D25" s="2">
        <v>2011</v>
      </c>
      <c r="E25">
        <v>219.28999999999996</v>
      </c>
      <c r="H25" s="2">
        <v>2005</v>
      </c>
      <c r="I25">
        <v>353962</v>
      </c>
    </row>
    <row r="26" spans="1:14" x14ac:dyDescent="0.3">
      <c r="D26" s="2">
        <v>2012</v>
      </c>
      <c r="E26">
        <v>273.97999999999996</v>
      </c>
      <c r="H26" s="2">
        <v>2007</v>
      </c>
      <c r="I26">
        <v>427143</v>
      </c>
    </row>
    <row r="27" spans="1:14" x14ac:dyDescent="0.3">
      <c r="A27" s="1" t="s">
        <v>1819</v>
      </c>
      <c r="B27" t="s">
        <v>1821</v>
      </c>
      <c r="C27" t="s">
        <v>1824</v>
      </c>
      <c r="D27" s="2">
        <v>2014</v>
      </c>
      <c r="E27">
        <v>132.76</v>
      </c>
      <c r="H27" s="2">
        <v>2009</v>
      </c>
      <c r="I27">
        <v>468282</v>
      </c>
    </row>
    <row r="28" spans="1:14" x14ac:dyDescent="0.3">
      <c r="A28" s="2">
        <v>1995</v>
      </c>
      <c r="B28">
        <v>60349.099999999991</v>
      </c>
      <c r="C28">
        <v>3549.947058823529</v>
      </c>
      <c r="D28" s="2" t="s">
        <v>1820</v>
      </c>
      <c r="E28">
        <v>1742.01</v>
      </c>
      <c r="H28" s="2">
        <v>2010</v>
      </c>
      <c r="I28">
        <v>489571</v>
      </c>
    </row>
    <row r="29" spans="1:14" x14ac:dyDescent="0.3">
      <c r="A29" s="2">
        <v>2003</v>
      </c>
      <c r="B29">
        <v>60511.05</v>
      </c>
      <c r="C29">
        <v>1551.5653846153848</v>
      </c>
      <c r="H29" s="2">
        <v>2011</v>
      </c>
      <c r="I29">
        <v>635477</v>
      </c>
    </row>
    <row r="30" spans="1:14" x14ac:dyDescent="0.3">
      <c r="A30" s="2">
        <v>2006</v>
      </c>
      <c r="B30">
        <v>85492.530000000028</v>
      </c>
      <c r="C30">
        <v>2085.1836585365859</v>
      </c>
      <c r="H30" s="2">
        <v>2012</v>
      </c>
      <c r="I30">
        <v>769084</v>
      </c>
    </row>
    <row r="31" spans="1:14" x14ac:dyDescent="0.3">
      <c r="A31" s="2">
        <v>2007</v>
      </c>
      <c r="B31">
        <v>63867.009999999987</v>
      </c>
      <c r="C31">
        <v>1878.441470588235</v>
      </c>
      <c r="H31" s="2">
        <v>2013</v>
      </c>
      <c r="I31">
        <v>422449</v>
      </c>
      <c r="L31" s="1" t="s">
        <v>1819</v>
      </c>
      <c r="M31" t="s">
        <v>1822</v>
      </c>
      <c r="N31" t="s">
        <v>1821</v>
      </c>
    </row>
    <row r="32" spans="1:14" x14ac:dyDescent="0.3">
      <c r="A32" s="2">
        <v>2008</v>
      </c>
      <c r="B32">
        <v>108108.26000000002</v>
      </c>
      <c r="C32">
        <v>2772.0066666666671</v>
      </c>
      <c r="H32" s="2" t="s">
        <v>1820</v>
      </c>
      <c r="I32">
        <v>4704129</v>
      </c>
      <c r="L32" s="2" t="s">
        <v>1063</v>
      </c>
      <c r="M32">
        <v>55728</v>
      </c>
      <c r="N32">
        <v>1398.6</v>
      </c>
    </row>
    <row r="33" spans="1:14" x14ac:dyDescent="0.3">
      <c r="A33" s="2">
        <v>2009</v>
      </c>
      <c r="B33">
        <v>65535.259999999995</v>
      </c>
      <c r="C33">
        <v>1424.6795652173912</v>
      </c>
      <c r="L33" s="2" t="s">
        <v>1061</v>
      </c>
      <c r="M33">
        <v>56808</v>
      </c>
      <c r="N33">
        <v>418.6</v>
      </c>
    </row>
    <row r="34" spans="1:14" x14ac:dyDescent="0.3">
      <c r="A34" s="2">
        <v>2010</v>
      </c>
      <c r="B34">
        <v>54109.19</v>
      </c>
      <c r="C34">
        <v>1229.7543181818182</v>
      </c>
      <c r="L34" s="2" t="s">
        <v>1057</v>
      </c>
      <c r="M34">
        <v>58968</v>
      </c>
      <c r="N34">
        <v>562.59</v>
      </c>
    </row>
    <row r="35" spans="1:14" x14ac:dyDescent="0.3">
      <c r="A35" s="2">
        <v>2011</v>
      </c>
      <c r="B35">
        <v>135434.16999999998</v>
      </c>
      <c r="C35">
        <v>2462.4394545454543</v>
      </c>
      <c r="L35" s="2" t="s">
        <v>1051</v>
      </c>
      <c r="M35">
        <v>61560</v>
      </c>
      <c r="N35">
        <v>1560.58</v>
      </c>
    </row>
    <row r="36" spans="1:14" x14ac:dyDescent="0.3">
      <c r="A36" s="2">
        <v>2012</v>
      </c>
      <c r="B36">
        <v>97114.259999999922</v>
      </c>
      <c r="C36">
        <v>1428.15088235294</v>
      </c>
      <c r="L36" s="2" t="s">
        <v>1053</v>
      </c>
      <c r="M36">
        <v>61128</v>
      </c>
      <c r="N36">
        <v>562.59</v>
      </c>
    </row>
    <row r="37" spans="1:14" x14ac:dyDescent="0.3">
      <c r="A37" s="2">
        <v>2015</v>
      </c>
      <c r="B37">
        <v>87868.760000000024</v>
      </c>
      <c r="C37">
        <v>3379.5676923076931</v>
      </c>
      <c r="L37" s="2" t="s">
        <v>1052</v>
      </c>
      <c r="M37">
        <v>61128</v>
      </c>
      <c r="N37">
        <v>969.86</v>
      </c>
    </row>
    <row r="38" spans="1:14" x14ac:dyDescent="0.3">
      <c r="A38" s="2" t="s">
        <v>1820</v>
      </c>
      <c r="B38">
        <v>818389.59000000125</v>
      </c>
      <c r="C38">
        <v>2000.9525427872891</v>
      </c>
      <c r="L38" s="2" t="s">
        <v>1054</v>
      </c>
      <c r="M38">
        <v>60696</v>
      </c>
      <c r="N38">
        <v>139.59</v>
      </c>
    </row>
    <row r="39" spans="1:14" x14ac:dyDescent="0.3">
      <c r="L39" s="2" t="s">
        <v>1315</v>
      </c>
      <c r="M39">
        <v>64368</v>
      </c>
      <c r="N39">
        <v>1857.96</v>
      </c>
    </row>
    <row r="40" spans="1:14" x14ac:dyDescent="0.3">
      <c r="L40" s="2" t="s">
        <v>1055</v>
      </c>
      <c r="M40">
        <v>59400</v>
      </c>
      <c r="N40">
        <v>1030.71</v>
      </c>
    </row>
    <row r="41" spans="1:14" x14ac:dyDescent="0.3">
      <c r="L41" s="2" t="s">
        <v>1059</v>
      </c>
      <c r="M41">
        <v>57240</v>
      </c>
      <c r="N41">
        <v>558.6</v>
      </c>
    </row>
    <row r="42" spans="1:14" x14ac:dyDescent="0.3">
      <c r="L42" s="2" t="s">
        <v>1820</v>
      </c>
      <c r="M42">
        <v>597024</v>
      </c>
      <c r="N42">
        <v>9059.68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FFD2-0879-476D-9197-38EAEC278FE1}">
  <dimension ref="A1:N1071"/>
  <sheetViews>
    <sheetView topLeftCell="A2" workbookViewId="0">
      <selection activeCell="F1038" sqref="F1038"/>
    </sheetView>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1975</v>
      </c>
      <c r="B2" t="s">
        <v>14</v>
      </c>
      <c r="C2" t="s">
        <v>15</v>
      </c>
      <c r="D2" t="s">
        <v>16</v>
      </c>
      <c r="E2" t="s">
        <v>17</v>
      </c>
      <c r="F2">
        <v>3.42</v>
      </c>
      <c r="G2">
        <v>155903</v>
      </c>
      <c r="H2" t="s">
        <v>18</v>
      </c>
      <c r="I2">
        <v>34160</v>
      </c>
      <c r="J2">
        <v>20496</v>
      </c>
      <c r="K2">
        <v>4.88</v>
      </c>
      <c r="L2">
        <v>1</v>
      </c>
      <c r="M2" t="s">
        <v>19</v>
      </c>
      <c r="N2">
        <v>7000</v>
      </c>
    </row>
    <row r="3" spans="1:14" x14ac:dyDescent="0.3">
      <c r="A3">
        <v>1987</v>
      </c>
      <c r="B3" t="s">
        <v>20</v>
      </c>
      <c r="C3" t="s">
        <v>21</v>
      </c>
      <c r="D3" t="s">
        <v>22</v>
      </c>
      <c r="E3" t="s">
        <v>23</v>
      </c>
      <c r="F3">
        <v>4.2300000000000004</v>
      </c>
      <c r="G3">
        <v>145267</v>
      </c>
      <c r="H3" t="s">
        <v>18</v>
      </c>
      <c r="I3">
        <v>12437.5</v>
      </c>
      <c r="J3">
        <v>7462.5</v>
      </c>
      <c r="K3">
        <v>1.99</v>
      </c>
      <c r="L3">
        <v>2</v>
      </c>
      <c r="M3" t="s">
        <v>19</v>
      </c>
      <c r="N3">
        <v>6250</v>
      </c>
    </row>
    <row r="4" spans="1:14" x14ac:dyDescent="0.3">
      <c r="A4">
        <v>2015</v>
      </c>
      <c r="B4" t="s">
        <v>24</v>
      </c>
      <c r="C4" t="s">
        <v>25</v>
      </c>
      <c r="D4" t="s">
        <v>22</v>
      </c>
      <c r="E4" t="s">
        <v>17</v>
      </c>
      <c r="F4">
        <v>3.31</v>
      </c>
      <c r="G4">
        <v>138669</v>
      </c>
      <c r="H4" t="s">
        <v>18</v>
      </c>
      <c r="I4">
        <v>47795</v>
      </c>
      <c r="J4">
        <v>28677</v>
      </c>
      <c r="K4">
        <v>8.69</v>
      </c>
      <c r="L4">
        <v>3</v>
      </c>
      <c r="M4" t="s">
        <v>26</v>
      </c>
      <c r="N4">
        <v>5500</v>
      </c>
    </row>
    <row r="5" spans="1:14" x14ac:dyDescent="0.3">
      <c r="A5">
        <v>2008</v>
      </c>
      <c r="B5" t="s">
        <v>27</v>
      </c>
      <c r="C5" t="s">
        <v>28</v>
      </c>
      <c r="D5" t="s">
        <v>16</v>
      </c>
      <c r="E5" t="s">
        <v>23</v>
      </c>
      <c r="F5">
        <v>4.04</v>
      </c>
      <c r="G5">
        <v>150898</v>
      </c>
      <c r="H5" t="s">
        <v>29</v>
      </c>
      <c r="I5">
        <v>41250</v>
      </c>
      <c r="J5">
        <v>24750</v>
      </c>
      <c r="K5">
        <v>7.5</v>
      </c>
      <c r="L5">
        <v>3</v>
      </c>
      <c r="M5" t="s">
        <v>30</v>
      </c>
      <c r="N5">
        <v>5500</v>
      </c>
    </row>
    <row r="6" spans="1:14" x14ac:dyDescent="0.3">
      <c r="A6">
        <v>2011</v>
      </c>
      <c r="B6" t="s">
        <v>31</v>
      </c>
      <c r="C6" t="s">
        <v>32</v>
      </c>
      <c r="D6" t="s">
        <v>22</v>
      </c>
      <c r="E6" t="s">
        <v>23</v>
      </c>
      <c r="F6">
        <v>4.04</v>
      </c>
      <c r="G6">
        <v>198283</v>
      </c>
      <c r="H6" t="s">
        <v>18</v>
      </c>
      <c r="I6">
        <v>37952.5</v>
      </c>
      <c r="J6">
        <v>22771.5</v>
      </c>
      <c r="K6">
        <v>7.99</v>
      </c>
      <c r="L6">
        <v>4</v>
      </c>
      <c r="M6" t="s">
        <v>33</v>
      </c>
      <c r="N6">
        <v>4750</v>
      </c>
    </row>
    <row r="7" spans="1:14" x14ac:dyDescent="0.3">
      <c r="A7">
        <v>2015</v>
      </c>
      <c r="B7" t="s">
        <v>34</v>
      </c>
      <c r="C7" t="s">
        <v>35</v>
      </c>
      <c r="D7" t="s">
        <v>22</v>
      </c>
      <c r="E7" t="s">
        <v>23</v>
      </c>
      <c r="F7">
        <v>4.08</v>
      </c>
      <c r="G7">
        <v>83354</v>
      </c>
      <c r="H7" t="s">
        <v>18</v>
      </c>
      <c r="I7">
        <v>19960</v>
      </c>
      <c r="J7">
        <v>0</v>
      </c>
      <c r="K7">
        <v>4.99</v>
      </c>
      <c r="L7">
        <v>5</v>
      </c>
      <c r="M7" t="s">
        <v>26</v>
      </c>
      <c r="N7">
        <v>4000</v>
      </c>
    </row>
    <row r="8" spans="1:14" x14ac:dyDescent="0.3">
      <c r="A8">
        <v>2011</v>
      </c>
      <c r="B8" t="s">
        <v>36</v>
      </c>
      <c r="C8" t="s">
        <v>37</v>
      </c>
      <c r="D8" t="s">
        <v>22</v>
      </c>
      <c r="E8" t="s">
        <v>23</v>
      </c>
      <c r="F8">
        <v>4.03</v>
      </c>
      <c r="G8">
        <v>155977</v>
      </c>
      <c r="H8" t="s">
        <v>18</v>
      </c>
      <c r="I8">
        <v>27491.67</v>
      </c>
      <c r="J8">
        <v>16495.002</v>
      </c>
      <c r="K8">
        <v>6.99</v>
      </c>
      <c r="L8">
        <v>6</v>
      </c>
      <c r="M8" t="s">
        <v>19</v>
      </c>
      <c r="N8">
        <v>3933</v>
      </c>
    </row>
    <row r="9" spans="1:14" x14ac:dyDescent="0.3">
      <c r="A9">
        <v>1994</v>
      </c>
      <c r="B9" t="s">
        <v>38</v>
      </c>
      <c r="C9" t="s">
        <v>39</v>
      </c>
      <c r="D9" t="s">
        <v>22</v>
      </c>
      <c r="E9" t="s">
        <v>23</v>
      </c>
      <c r="F9">
        <v>3.9</v>
      </c>
      <c r="G9">
        <v>167997</v>
      </c>
      <c r="H9" t="s">
        <v>40</v>
      </c>
      <c r="I9">
        <v>26182</v>
      </c>
      <c r="J9">
        <v>15709.2</v>
      </c>
      <c r="K9">
        <v>6.89</v>
      </c>
      <c r="L9">
        <v>8</v>
      </c>
      <c r="M9" t="s">
        <v>30</v>
      </c>
      <c r="N9">
        <v>3800</v>
      </c>
    </row>
    <row r="10" spans="1:14" x14ac:dyDescent="0.3">
      <c r="A10">
        <v>2012</v>
      </c>
      <c r="B10" t="s">
        <v>41</v>
      </c>
      <c r="C10" t="s">
        <v>42</v>
      </c>
      <c r="D10" t="s">
        <v>22</v>
      </c>
      <c r="E10" t="s">
        <v>23</v>
      </c>
      <c r="F10">
        <v>4.34</v>
      </c>
      <c r="G10">
        <v>189938</v>
      </c>
      <c r="H10" t="s">
        <v>18</v>
      </c>
      <c r="I10">
        <v>26093.67</v>
      </c>
      <c r="J10">
        <v>15656.201999999999</v>
      </c>
      <c r="K10">
        <v>6.99</v>
      </c>
      <c r="L10">
        <v>9</v>
      </c>
      <c r="M10" t="s">
        <v>19</v>
      </c>
      <c r="N10">
        <v>3733</v>
      </c>
    </row>
    <row r="11" spans="1:14" x14ac:dyDescent="0.3">
      <c r="A11">
        <v>1905</v>
      </c>
      <c r="B11" t="s">
        <v>43</v>
      </c>
      <c r="C11" t="s">
        <v>44</v>
      </c>
      <c r="D11" t="s">
        <v>22</v>
      </c>
      <c r="E11" t="s">
        <v>23</v>
      </c>
      <c r="F11">
        <v>4.2</v>
      </c>
      <c r="G11">
        <v>199872</v>
      </c>
      <c r="H11" t="s">
        <v>18</v>
      </c>
      <c r="I11">
        <v>23792.34</v>
      </c>
      <c r="J11">
        <v>14275.404</v>
      </c>
      <c r="K11">
        <v>6.49</v>
      </c>
      <c r="L11">
        <v>10</v>
      </c>
      <c r="M11" t="s">
        <v>45</v>
      </c>
      <c r="N11">
        <v>3666</v>
      </c>
    </row>
    <row r="12" spans="1:14" x14ac:dyDescent="0.3">
      <c r="A12">
        <v>2004</v>
      </c>
      <c r="B12" t="s">
        <v>46</v>
      </c>
      <c r="C12" t="s">
        <v>47</v>
      </c>
      <c r="D12" t="s">
        <v>16</v>
      </c>
      <c r="E12" t="s">
        <v>23</v>
      </c>
      <c r="F12">
        <v>4.13</v>
      </c>
      <c r="G12">
        <v>179415</v>
      </c>
      <c r="H12" t="s">
        <v>18</v>
      </c>
      <c r="I12">
        <v>17964</v>
      </c>
      <c r="J12">
        <v>0</v>
      </c>
      <c r="K12">
        <v>4.99</v>
      </c>
      <c r="L12">
        <v>11</v>
      </c>
      <c r="M12" t="s">
        <v>26</v>
      </c>
      <c r="N12">
        <v>3600</v>
      </c>
    </row>
    <row r="13" spans="1:14" x14ac:dyDescent="0.3">
      <c r="A13">
        <v>1954</v>
      </c>
      <c r="B13" t="s">
        <v>48</v>
      </c>
      <c r="C13" t="s">
        <v>49</v>
      </c>
      <c r="D13" t="s">
        <v>22</v>
      </c>
      <c r="E13" t="s">
        <v>23</v>
      </c>
      <c r="F13">
        <v>3.9</v>
      </c>
      <c r="G13">
        <v>189671</v>
      </c>
      <c r="H13" t="s">
        <v>29</v>
      </c>
      <c r="I13">
        <v>21564</v>
      </c>
      <c r="J13">
        <v>12938.4</v>
      </c>
      <c r="K13">
        <v>5.99</v>
      </c>
      <c r="L13">
        <v>11</v>
      </c>
      <c r="M13" t="s">
        <v>33</v>
      </c>
      <c r="N13">
        <v>3600</v>
      </c>
    </row>
    <row r="14" spans="1:14" x14ac:dyDescent="0.3">
      <c r="A14">
        <v>2010</v>
      </c>
      <c r="B14" t="s">
        <v>50</v>
      </c>
      <c r="C14" t="s">
        <v>51</v>
      </c>
      <c r="D14" t="s">
        <v>22</v>
      </c>
      <c r="E14" t="s">
        <v>52</v>
      </c>
      <c r="F14">
        <v>4.42</v>
      </c>
      <c r="G14">
        <v>206792</v>
      </c>
      <c r="H14" t="s">
        <v>18</v>
      </c>
      <c r="I14">
        <v>3431.34</v>
      </c>
      <c r="J14">
        <v>0</v>
      </c>
      <c r="K14">
        <v>0.99</v>
      </c>
      <c r="L14">
        <v>13</v>
      </c>
      <c r="M14" t="s">
        <v>26</v>
      </c>
      <c r="N14">
        <v>3466</v>
      </c>
    </row>
    <row r="15" spans="1:14" x14ac:dyDescent="0.3">
      <c r="A15">
        <v>1935</v>
      </c>
      <c r="B15" t="s">
        <v>53</v>
      </c>
      <c r="C15" t="s">
        <v>54</v>
      </c>
      <c r="D15" t="s">
        <v>22</v>
      </c>
      <c r="E15" t="s">
        <v>23</v>
      </c>
      <c r="F15">
        <v>4.18</v>
      </c>
      <c r="G15">
        <v>195424</v>
      </c>
      <c r="H15" t="s">
        <v>18</v>
      </c>
      <c r="I15">
        <v>6897.34</v>
      </c>
      <c r="J15">
        <v>4138.4040000000005</v>
      </c>
      <c r="K15">
        <v>1.99</v>
      </c>
      <c r="L15">
        <v>13</v>
      </c>
      <c r="M15" t="s">
        <v>19</v>
      </c>
      <c r="N15">
        <v>3466</v>
      </c>
    </row>
    <row r="16" spans="1:14" x14ac:dyDescent="0.3">
      <c r="A16">
        <v>1922</v>
      </c>
      <c r="B16" t="s">
        <v>55</v>
      </c>
      <c r="C16" t="s">
        <v>56</v>
      </c>
      <c r="D16" t="s">
        <v>22</v>
      </c>
      <c r="E16" t="s">
        <v>23</v>
      </c>
      <c r="F16">
        <v>4.29</v>
      </c>
      <c r="G16">
        <v>173469</v>
      </c>
      <c r="H16" t="s">
        <v>18</v>
      </c>
      <c r="I16">
        <v>21797.82</v>
      </c>
      <c r="J16">
        <v>13078.691999999999</v>
      </c>
      <c r="K16">
        <v>6.54</v>
      </c>
      <c r="L16">
        <v>15</v>
      </c>
      <c r="M16" t="s">
        <v>45</v>
      </c>
      <c r="N16">
        <v>3333</v>
      </c>
    </row>
    <row r="17" spans="1:14" x14ac:dyDescent="0.3">
      <c r="A17">
        <v>1974</v>
      </c>
      <c r="B17" t="s">
        <v>57</v>
      </c>
      <c r="C17" t="s">
        <v>58</v>
      </c>
      <c r="D17" t="s">
        <v>22</v>
      </c>
      <c r="E17" t="s">
        <v>23</v>
      </c>
      <c r="F17">
        <v>3.76</v>
      </c>
      <c r="G17">
        <v>139411</v>
      </c>
      <c r="H17" t="s">
        <v>18</v>
      </c>
      <c r="I17">
        <v>16297.34</v>
      </c>
      <c r="J17">
        <v>0</v>
      </c>
      <c r="K17">
        <v>4.99</v>
      </c>
      <c r="L17">
        <v>16</v>
      </c>
      <c r="M17" t="s">
        <v>26</v>
      </c>
      <c r="N17">
        <v>3266</v>
      </c>
    </row>
    <row r="18" spans="1:14" x14ac:dyDescent="0.3">
      <c r="A18">
        <v>1897</v>
      </c>
      <c r="B18" t="s">
        <v>59</v>
      </c>
      <c r="C18" t="s">
        <v>60</v>
      </c>
      <c r="D18" t="s">
        <v>22</v>
      </c>
      <c r="E18" t="s">
        <v>23</v>
      </c>
      <c r="F18">
        <v>3.8</v>
      </c>
      <c r="G18">
        <v>159752</v>
      </c>
      <c r="H18" t="s">
        <v>18</v>
      </c>
      <c r="I18">
        <v>15968</v>
      </c>
      <c r="J18">
        <v>0</v>
      </c>
      <c r="K18">
        <v>4.99</v>
      </c>
      <c r="L18">
        <v>17</v>
      </c>
      <c r="M18" t="s">
        <v>26</v>
      </c>
      <c r="N18">
        <v>3200</v>
      </c>
    </row>
    <row r="19" spans="1:14" x14ac:dyDescent="0.3">
      <c r="A19">
        <v>2006</v>
      </c>
      <c r="B19" t="s">
        <v>61</v>
      </c>
      <c r="C19" t="s">
        <v>62</v>
      </c>
      <c r="D19" t="s">
        <v>16</v>
      </c>
      <c r="E19" t="s">
        <v>23</v>
      </c>
      <c r="F19">
        <v>3.9</v>
      </c>
      <c r="G19">
        <v>156328</v>
      </c>
      <c r="H19" t="s">
        <v>18</v>
      </c>
      <c r="I19">
        <v>15968</v>
      </c>
      <c r="J19">
        <v>0</v>
      </c>
      <c r="K19">
        <v>4.99</v>
      </c>
      <c r="L19">
        <v>17</v>
      </c>
      <c r="M19" t="s">
        <v>26</v>
      </c>
      <c r="N19">
        <v>3200</v>
      </c>
    </row>
    <row r="20" spans="1:14" x14ac:dyDescent="0.3">
      <c r="A20">
        <v>1948</v>
      </c>
      <c r="B20" t="s">
        <v>63</v>
      </c>
      <c r="C20" t="s">
        <v>64</v>
      </c>
      <c r="D20" t="s">
        <v>16</v>
      </c>
      <c r="E20" t="s">
        <v>23</v>
      </c>
      <c r="F20">
        <v>4.28</v>
      </c>
      <c r="G20">
        <v>160860</v>
      </c>
      <c r="H20" t="s">
        <v>18</v>
      </c>
      <c r="I20">
        <v>6234.67</v>
      </c>
      <c r="J20">
        <v>3740.8020000000001</v>
      </c>
      <c r="K20">
        <v>1.99</v>
      </c>
      <c r="L20">
        <v>18</v>
      </c>
      <c r="M20" t="s">
        <v>65</v>
      </c>
      <c r="N20">
        <v>3133</v>
      </c>
    </row>
    <row r="21" spans="1:14" x14ac:dyDescent="0.3">
      <c r="A21">
        <v>2006</v>
      </c>
      <c r="B21" t="s">
        <v>66</v>
      </c>
      <c r="C21" t="s">
        <v>67</v>
      </c>
      <c r="D21" t="s">
        <v>22</v>
      </c>
      <c r="E21" t="s">
        <v>23</v>
      </c>
      <c r="F21">
        <v>4.17</v>
      </c>
      <c r="G21">
        <v>133271</v>
      </c>
      <c r="H21" t="s">
        <v>18</v>
      </c>
      <c r="I21">
        <v>3035.34</v>
      </c>
      <c r="J21">
        <v>0</v>
      </c>
      <c r="K21">
        <v>0.99</v>
      </c>
      <c r="L21">
        <v>19</v>
      </c>
      <c r="M21" t="s">
        <v>26</v>
      </c>
      <c r="N21">
        <v>3066</v>
      </c>
    </row>
    <row r="22" spans="1:14" x14ac:dyDescent="0.3">
      <c r="A22">
        <v>2013</v>
      </c>
      <c r="B22" t="s">
        <v>68</v>
      </c>
      <c r="C22" t="s">
        <v>69</v>
      </c>
      <c r="D22" t="s">
        <v>22</v>
      </c>
      <c r="E22" t="s">
        <v>23</v>
      </c>
      <c r="F22">
        <v>3.74</v>
      </c>
      <c r="G22">
        <v>138454</v>
      </c>
      <c r="H22" t="s">
        <v>18</v>
      </c>
      <c r="I22">
        <v>11702.67</v>
      </c>
      <c r="J22">
        <v>0</v>
      </c>
      <c r="K22">
        <v>3.99</v>
      </c>
      <c r="L22">
        <v>21</v>
      </c>
      <c r="M22" t="s">
        <v>26</v>
      </c>
      <c r="N22">
        <v>2933</v>
      </c>
    </row>
    <row r="23" spans="1:14" x14ac:dyDescent="0.3">
      <c r="A23">
        <v>2000</v>
      </c>
      <c r="B23" t="s">
        <v>70</v>
      </c>
      <c r="C23" t="s">
        <v>71</v>
      </c>
      <c r="D23" t="s">
        <v>16</v>
      </c>
      <c r="E23" t="s">
        <v>23</v>
      </c>
      <c r="F23">
        <v>4.0999999999999996</v>
      </c>
      <c r="G23">
        <v>142092</v>
      </c>
      <c r="H23" t="s">
        <v>18</v>
      </c>
      <c r="I23">
        <v>8569.34</v>
      </c>
      <c r="J23">
        <v>0</v>
      </c>
      <c r="K23">
        <v>2.99</v>
      </c>
      <c r="L23">
        <v>22</v>
      </c>
      <c r="M23" t="s">
        <v>26</v>
      </c>
      <c r="N23">
        <v>2866</v>
      </c>
    </row>
    <row r="24" spans="1:14" x14ac:dyDescent="0.3">
      <c r="A24">
        <v>1991</v>
      </c>
      <c r="B24" t="s">
        <v>72</v>
      </c>
      <c r="C24" t="s">
        <v>73</v>
      </c>
      <c r="D24" t="s">
        <v>22</v>
      </c>
      <c r="E24" t="s">
        <v>23</v>
      </c>
      <c r="F24">
        <v>3.87</v>
      </c>
      <c r="G24">
        <v>153821</v>
      </c>
      <c r="H24" t="s">
        <v>18</v>
      </c>
      <c r="I24">
        <v>2772</v>
      </c>
      <c r="J24">
        <v>0</v>
      </c>
      <c r="K24">
        <v>0.99</v>
      </c>
      <c r="L24">
        <v>23</v>
      </c>
      <c r="M24" t="s">
        <v>26</v>
      </c>
      <c r="N24">
        <v>2800</v>
      </c>
    </row>
    <row r="25" spans="1:14" x14ac:dyDescent="0.3">
      <c r="A25">
        <v>1993</v>
      </c>
      <c r="B25" t="s">
        <v>74</v>
      </c>
      <c r="C25" t="s">
        <v>75</v>
      </c>
      <c r="D25" t="s">
        <v>22</v>
      </c>
      <c r="E25" t="s">
        <v>23</v>
      </c>
      <c r="F25">
        <v>4.38</v>
      </c>
      <c r="G25">
        <v>157395</v>
      </c>
      <c r="H25" t="s">
        <v>18</v>
      </c>
      <c r="I25">
        <v>8171.67</v>
      </c>
      <c r="J25">
        <v>0</v>
      </c>
      <c r="K25">
        <v>2.99</v>
      </c>
      <c r="L25">
        <v>24</v>
      </c>
      <c r="M25" t="s">
        <v>26</v>
      </c>
      <c r="N25">
        <v>2733</v>
      </c>
    </row>
    <row r="26" spans="1:14" x14ac:dyDescent="0.3">
      <c r="A26">
        <v>1996</v>
      </c>
      <c r="B26" t="s">
        <v>76</v>
      </c>
      <c r="C26" t="s">
        <v>77</v>
      </c>
      <c r="D26" t="s">
        <v>22</v>
      </c>
      <c r="E26" t="s">
        <v>23</v>
      </c>
      <c r="F26">
        <v>4.12</v>
      </c>
      <c r="G26">
        <v>156869</v>
      </c>
      <c r="H26" t="s">
        <v>18</v>
      </c>
      <c r="I26">
        <v>2639.34</v>
      </c>
      <c r="J26">
        <v>1583.604</v>
      </c>
      <c r="K26">
        <v>0.99</v>
      </c>
      <c r="L26">
        <v>25</v>
      </c>
      <c r="M26" t="s">
        <v>26</v>
      </c>
      <c r="N26">
        <v>2666</v>
      </c>
    </row>
    <row r="27" spans="1:14" x14ac:dyDescent="0.3">
      <c r="A27">
        <v>1981</v>
      </c>
      <c r="B27" t="s">
        <v>76</v>
      </c>
      <c r="C27" t="s">
        <v>73</v>
      </c>
      <c r="D27" t="s">
        <v>78</v>
      </c>
      <c r="E27" t="s">
        <v>23</v>
      </c>
      <c r="F27">
        <v>3.65</v>
      </c>
      <c r="G27">
        <v>158215</v>
      </c>
      <c r="H27" t="s">
        <v>18</v>
      </c>
      <c r="I27">
        <v>7774</v>
      </c>
      <c r="J27">
        <v>0</v>
      </c>
      <c r="K27">
        <v>2.99</v>
      </c>
      <c r="L27">
        <v>26</v>
      </c>
      <c r="M27" t="s">
        <v>26</v>
      </c>
      <c r="N27">
        <v>2600</v>
      </c>
    </row>
    <row r="28" spans="1:14" x14ac:dyDescent="0.3">
      <c r="A28">
        <v>1993</v>
      </c>
      <c r="B28" t="s">
        <v>79</v>
      </c>
      <c r="C28" t="s">
        <v>80</v>
      </c>
      <c r="D28" t="s">
        <v>22</v>
      </c>
      <c r="E28" t="s">
        <v>23</v>
      </c>
      <c r="F28">
        <v>3.83</v>
      </c>
      <c r="G28">
        <v>159249</v>
      </c>
      <c r="H28" t="s">
        <v>18</v>
      </c>
      <c r="I28">
        <v>26904.06</v>
      </c>
      <c r="J28">
        <v>16142.436</v>
      </c>
      <c r="K28">
        <v>10.91</v>
      </c>
      <c r="L28">
        <v>28</v>
      </c>
      <c r="M28" t="s">
        <v>33</v>
      </c>
      <c r="N28">
        <v>2466</v>
      </c>
    </row>
    <row r="29" spans="1:14" x14ac:dyDescent="0.3">
      <c r="A29">
        <v>2004</v>
      </c>
      <c r="B29" t="s">
        <v>81</v>
      </c>
      <c r="C29" t="s">
        <v>82</v>
      </c>
      <c r="D29" t="s">
        <v>22</v>
      </c>
      <c r="E29" t="s">
        <v>23</v>
      </c>
      <c r="F29">
        <v>4.13</v>
      </c>
      <c r="G29">
        <v>199572</v>
      </c>
      <c r="H29" t="s">
        <v>18</v>
      </c>
      <c r="I29">
        <v>2376</v>
      </c>
      <c r="J29">
        <v>0</v>
      </c>
      <c r="K29">
        <v>0.99</v>
      </c>
      <c r="L29">
        <v>29</v>
      </c>
      <c r="M29" t="s">
        <v>26</v>
      </c>
      <c r="N29">
        <v>2400</v>
      </c>
    </row>
    <row r="30" spans="1:14" x14ac:dyDescent="0.3">
      <c r="A30">
        <v>1891</v>
      </c>
      <c r="B30" t="s">
        <v>83</v>
      </c>
      <c r="C30" t="s">
        <v>84</v>
      </c>
      <c r="D30" t="s">
        <v>22</v>
      </c>
      <c r="E30" t="s">
        <v>23</v>
      </c>
      <c r="F30">
        <v>3.77</v>
      </c>
      <c r="G30">
        <v>171599</v>
      </c>
      <c r="H30" t="s">
        <v>40</v>
      </c>
      <c r="I30">
        <v>9576</v>
      </c>
      <c r="J30">
        <v>5745.6</v>
      </c>
      <c r="K30">
        <v>3.99</v>
      </c>
      <c r="L30">
        <v>29</v>
      </c>
      <c r="M30" t="s">
        <v>30</v>
      </c>
      <c r="N30">
        <v>2400</v>
      </c>
    </row>
    <row r="31" spans="1:14" x14ac:dyDescent="0.3">
      <c r="A31">
        <v>1856</v>
      </c>
      <c r="B31" t="s">
        <v>85</v>
      </c>
      <c r="C31" t="s">
        <v>86</v>
      </c>
      <c r="D31" t="s">
        <v>22</v>
      </c>
      <c r="E31" t="s">
        <v>23</v>
      </c>
      <c r="F31">
        <v>3.64</v>
      </c>
      <c r="G31">
        <v>158877</v>
      </c>
      <c r="H31" t="s">
        <v>18</v>
      </c>
      <c r="I31">
        <v>9308.67</v>
      </c>
      <c r="J31">
        <v>0</v>
      </c>
      <c r="K31">
        <v>3.99</v>
      </c>
      <c r="L31">
        <v>30</v>
      </c>
      <c r="M31" t="s">
        <v>26</v>
      </c>
      <c r="N31">
        <v>2333</v>
      </c>
    </row>
    <row r="32" spans="1:14" x14ac:dyDescent="0.3">
      <c r="A32">
        <v>1961</v>
      </c>
      <c r="B32" t="s">
        <v>87</v>
      </c>
      <c r="C32" t="s">
        <v>88</v>
      </c>
      <c r="D32" t="s">
        <v>16</v>
      </c>
      <c r="E32" t="s">
        <v>23</v>
      </c>
      <c r="F32">
        <v>4.22</v>
      </c>
      <c r="G32">
        <v>178432</v>
      </c>
      <c r="H32" t="s">
        <v>18</v>
      </c>
      <c r="I32">
        <v>4509.34</v>
      </c>
      <c r="J32">
        <v>0</v>
      </c>
      <c r="K32">
        <v>1.99</v>
      </c>
      <c r="L32">
        <v>31</v>
      </c>
      <c r="M32" t="s">
        <v>26</v>
      </c>
      <c r="N32">
        <v>2266</v>
      </c>
    </row>
    <row r="33" spans="1:14" x14ac:dyDescent="0.3">
      <c r="A33">
        <v>2010</v>
      </c>
      <c r="B33" t="s">
        <v>89</v>
      </c>
      <c r="C33" t="s">
        <v>90</v>
      </c>
      <c r="D33" t="s">
        <v>22</v>
      </c>
      <c r="E33" t="s">
        <v>52</v>
      </c>
      <c r="F33">
        <v>4.6399999999999997</v>
      </c>
      <c r="G33">
        <v>144822</v>
      </c>
      <c r="H33" t="s">
        <v>18</v>
      </c>
      <c r="I33">
        <v>2178</v>
      </c>
      <c r="J33">
        <v>0</v>
      </c>
      <c r="K33">
        <v>0.99</v>
      </c>
      <c r="L33">
        <v>32</v>
      </c>
      <c r="M33" t="s">
        <v>26</v>
      </c>
      <c r="N33">
        <v>2200</v>
      </c>
    </row>
    <row r="34" spans="1:14" x14ac:dyDescent="0.3">
      <c r="A34">
        <v>2003</v>
      </c>
      <c r="B34" t="s">
        <v>91</v>
      </c>
      <c r="C34" t="s">
        <v>82</v>
      </c>
      <c r="D34" t="s">
        <v>92</v>
      </c>
      <c r="E34" t="s">
        <v>23</v>
      </c>
      <c r="F34">
        <v>4.03</v>
      </c>
      <c r="G34">
        <v>181323</v>
      </c>
      <c r="H34" t="s">
        <v>18</v>
      </c>
      <c r="I34">
        <v>13178</v>
      </c>
      <c r="J34">
        <v>7906.8</v>
      </c>
      <c r="K34">
        <v>5.99</v>
      </c>
      <c r="L34">
        <v>32</v>
      </c>
      <c r="M34" t="s">
        <v>19</v>
      </c>
      <c r="N34">
        <v>2200</v>
      </c>
    </row>
    <row r="35" spans="1:14" x14ac:dyDescent="0.3">
      <c r="A35">
        <v>2006</v>
      </c>
      <c r="B35" t="s">
        <v>93</v>
      </c>
      <c r="C35" t="s">
        <v>94</v>
      </c>
      <c r="D35" t="s">
        <v>16</v>
      </c>
      <c r="E35" t="s">
        <v>23</v>
      </c>
      <c r="F35">
        <v>4.1399999999999997</v>
      </c>
      <c r="G35">
        <v>161001</v>
      </c>
      <c r="H35" t="s">
        <v>40</v>
      </c>
      <c r="I35">
        <v>2045.34</v>
      </c>
      <c r="J35">
        <v>1227.204</v>
      </c>
      <c r="K35">
        <v>0.99</v>
      </c>
      <c r="L35">
        <v>34</v>
      </c>
      <c r="M35" t="s">
        <v>19</v>
      </c>
      <c r="N35">
        <v>2066</v>
      </c>
    </row>
    <row r="36" spans="1:14" x14ac:dyDescent="0.3">
      <c r="A36">
        <v>2007</v>
      </c>
      <c r="B36" t="s">
        <v>95</v>
      </c>
      <c r="C36" t="s">
        <v>90</v>
      </c>
      <c r="D36" t="s">
        <v>22</v>
      </c>
      <c r="E36" t="s">
        <v>23</v>
      </c>
      <c r="F36">
        <v>4.3499999999999996</v>
      </c>
      <c r="G36">
        <v>150736</v>
      </c>
      <c r="H36" t="s">
        <v>18</v>
      </c>
      <c r="I36">
        <v>17980</v>
      </c>
      <c r="J36">
        <v>10788</v>
      </c>
      <c r="K36">
        <v>8.99</v>
      </c>
      <c r="L36">
        <v>35</v>
      </c>
      <c r="M36" t="s">
        <v>45</v>
      </c>
      <c r="N36">
        <v>2000</v>
      </c>
    </row>
    <row r="37" spans="1:14" x14ac:dyDescent="0.3">
      <c r="A37">
        <v>2015</v>
      </c>
      <c r="B37" t="s">
        <v>95</v>
      </c>
      <c r="C37" t="s">
        <v>96</v>
      </c>
      <c r="D37" t="s">
        <v>22</v>
      </c>
      <c r="E37" t="s">
        <v>23</v>
      </c>
      <c r="F37">
        <v>3.7</v>
      </c>
      <c r="G37">
        <v>99342</v>
      </c>
      <c r="H37" t="s">
        <v>18</v>
      </c>
      <c r="I37">
        <v>1964.16</v>
      </c>
      <c r="J37">
        <v>0</v>
      </c>
      <c r="K37">
        <v>0.99</v>
      </c>
      <c r="L37">
        <v>36</v>
      </c>
      <c r="M37" t="s">
        <v>26</v>
      </c>
      <c r="N37">
        <v>1984</v>
      </c>
    </row>
    <row r="38" spans="1:14" x14ac:dyDescent="0.3">
      <c r="A38">
        <v>2011</v>
      </c>
      <c r="B38" t="s">
        <v>97</v>
      </c>
      <c r="C38" t="s">
        <v>98</v>
      </c>
      <c r="D38" t="s">
        <v>22</v>
      </c>
      <c r="E38" t="s">
        <v>23</v>
      </c>
      <c r="F38">
        <v>4.07</v>
      </c>
      <c r="G38">
        <v>140076</v>
      </c>
      <c r="H38" t="s">
        <v>18</v>
      </c>
      <c r="I38">
        <v>1964.16</v>
      </c>
      <c r="J38">
        <v>1178.4960000000001</v>
      </c>
      <c r="K38">
        <v>0.99</v>
      </c>
      <c r="L38">
        <v>36</v>
      </c>
      <c r="M38" t="s">
        <v>26</v>
      </c>
      <c r="N38">
        <v>1984</v>
      </c>
    </row>
    <row r="39" spans="1:14" x14ac:dyDescent="0.3">
      <c r="A39">
        <v>1986</v>
      </c>
      <c r="B39" t="s">
        <v>99</v>
      </c>
      <c r="C39" t="s">
        <v>100</v>
      </c>
      <c r="D39" t="s">
        <v>22</v>
      </c>
      <c r="E39" t="s">
        <v>23</v>
      </c>
      <c r="F39">
        <v>4.25</v>
      </c>
      <c r="G39">
        <v>135979</v>
      </c>
      <c r="H39" t="s">
        <v>18</v>
      </c>
      <c r="I39">
        <v>1949.31</v>
      </c>
      <c r="J39">
        <v>0</v>
      </c>
      <c r="K39">
        <v>0.99</v>
      </c>
      <c r="L39">
        <v>37</v>
      </c>
      <c r="M39" t="s">
        <v>26</v>
      </c>
      <c r="N39">
        <v>1969</v>
      </c>
    </row>
    <row r="40" spans="1:14" x14ac:dyDescent="0.3">
      <c r="A40">
        <v>2005</v>
      </c>
      <c r="B40" t="s">
        <v>101</v>
      </c>
      <c r="C40" t="s">
        <v>102</v>
      </c>
      <c r="D40" t="s">
        <v>22</v>
      </c>
      <c r="E40" t="s">
        <v>23</v>
      </c>
      <c r="F40">
        <v>4.08</v>
      </c>
      <c r="G40">
        <v>172302</v>
      </c>
      <c r="H40" t="s">
        <v>18</v>
      </c>
      <c r="I40">
        <v>1949.31</v>
      </c>
      <c r="J40">
        <v>0</v>
      </c>
      <c r="K40">
        <v>0.99</v>
      </c>
      <c r="L40">
        <v>37</v>
      </c>
      <c r="M40" t="s">
        <v>26</v>
      </c>
      <c r="N40">
        <v>1969</v>
      </c>
    </row>
    <row r="41" spans="1:14" x14ac:dyDescent="0.3">
      <c r="A41">
        <v>1995</v>
      </c>
      <c r="B41" t="s">
        <v>103</v>
      </c>
      <c r="C41" t="s">
        <v>104</v>
      </c>
      <c r="D41" t="s">
        <v>22</v>
      </c>
      <c r="E41" t="s">
        <v>23</v>
      </c>
      <c r="F41">
        <v>3.94</v>
      </c>
      <c r="G41">
        <v>134849</v>
      </c>
      <c r="H41" t="s">
        <v>18</v>
      </c>
      <c r="I41">
        <v>20309.55</v>
      </c>
      <c r="J41">
        <v>12185.73</v>
      </c>
      <c r="K41">
        <v>10.65</v>
      </c>
      <c r="L41">
        <v>41</v>
      </c>
      <c r="M41" t="s">
        <v>45</v>
      </c>
      <c r="N41">
        <v>1907</v>
      </c>
    </row>
    <row r="42" spans="1:14" x14ac:dyDescent="0.3">
      <c r="A42">
        <v>2003</v>
      </c>
      <c r="B42" t="s">
        <v>105</v>
      </c>
      <c r="C42" t="s">
        <v>71</v>
      </c>
      <c r="D42" t="s">
        <v>16</v>
      </c>
      <c r="E42" t="s">
        <v>23</v>
      </c>
      <c r="F42">
        <v>4.1399999999999997</v>
      </c>
      <c r="G42">
        <v>136427</v>
      </c>
      <c r="H42" t="s">
        <v>18</v>
      </c>
      <c r="I42">
        <v>1873.08</v>
      </c>
      <c r="J42">
        <v>0</v>
      </c>
      <c r="K42">
        <v>0.99</v>
      </c>
      <c r="L42">
        <v>42</v>
      </c>
      <c r="M42" t="s">
        <v>26</v>
      </c>
      <c r="N42">
        <v>1892</v>
      </c>
    </row>
    <row r="43" spans="1:14" x14ac:dyDescent="0.3">
      <c r="A43">
        <v>2003</v>
      </c>
      <c r="B43" t="s">
        <v>106</v>
      </c>
      <c r="C43" t="s">
        <v>107</v>
      </c>
      <c r="D43" t="s">
        <v>22</v>
      </c>
      <c r="E43" t="s">
        <v>23</v>
      </c>
      <c r="F43">
        <v>4</v>
      </c>
      <c r="G43">
        <v>151500</v>
      </c>
      <c r="H43" t="s">
        <v>18</v>
      </c>
      <c r="I43">
        <v>7485.24</v>
      </c>
      <c r="J43">
        <v>0</v>
      </c>
      <c r="K43">
        <v>3.99</v>
      </c>
      <c r="L43">
        <v>43</v>
      </c>
      <c r="M43" t="s">
        <v>26</v>
      </c>
      <c r="N43">
        <v>1876</v>
      </c>
    </row>
    <row r="44" spans="1:14" x14ac:dyDescent="0.3">
      <c r="A44">
        <v>1998</v>
      </c>
      <c r="B44" t="s">
        <v>108</v>
      </c>
      <c r="C44" t="s">
        <v>109</v>
      </c>
      <c r="D44" t="s">
        <v>16</v>
      </c>
      <c r="E44" t="s">
        <v>23</v>
      </c>
      <c r="F44">
        <v>3.52</v>
      </c>
      <c r="G44">
        <v>113915</v>
      </c>
      <c r="H44" t="s">
        <v>18</v>
      </c>
      <c r="I44">
        <v>3703.39</v>
      </c>
      <c r="J44">
        <v>2222.0340000000001</v>
      </c>
      <c r="K44">
        <v>1.99</v>
      </c>
      <c r="L44">
        <v>44</v>
      </c>
      <c r="M44" t="s">
        <v>26</v>
      </c>
      <c r="N44">
        <v>1861</v>
      </c>
    </row>
    <row r="45" spans="1:14" x14ac:dyDescent="0.3">
      <c r="A45">
        <v>2000</v>
      </c>
      <c r="B45" t="s">
        <v>110</v>
      </c>
      <c r="C45" t="s">
        <v>111</v>
      </c>
      <c r="D45" t="s">
        <v>22</v>
      </c>
      <c r="E45" t="s">
        <v>23</v>
      </c>
      <c r="F45">
        <v>4</v>
      </c>
      <c r="G45">
        <v>134177</v>
      </c>
      <c r="H45" t="s">
        <v>18</v>
      </c>
      <c r="I45">
        <v>11057.54</v>
      </c>
      <c r="J45">
        <v>6634.5240000000003</v>
      </c>
      <c r="K45">
        <v>5.99</v>
      </c>
      <c r="L45">
        <v>45</v>
      </c>
      <c r="M45" t="s">
        <v>19</v>
      </c>
      <c r="N45">
        <v>1846</v>
      </c>
    </row>
    <row r="46" spans="1:14" x14ac:dyDescent="0.3">
      <c r="A46">
        <v>1999</v>
      </c>
      <c r="B46" t="s">
        <v>112</v>
      </c>
      <c r="C46" t="s">
        <v>113</v>
      </c>
      <c r="D46" t="s">
        <v>16</v>
      </c>
      <c r="E46" t="s">
        <v>23</v>
      </c>
      <c r="F46">
        <v>3.83</v>
      </c>
      <c r="G46">
        <v>148563</v>
      </c>
      <c r="H46" t="s">
        <v>18</v>
      </c>
      <c r="I46">
        <v>12791.7</v>
      </c>
      <c r="J46">
        <v>7675.02</v>
      </c>
      <c r="K46">
        <v>6.99</v>
      </c>
      <c r="L46">
        <v>46</v>
      </c>
      <c r="M46" t="s">
        <v>26</v>
      </c>
      <c r="N46">
        <v>1830</v>
      </c>
    </row>
    <row r="47" spans="1:14" x14ac:dyDescent="0.3">
      <c r="A47">
        <v>1759</v>
      </c>
      <c r="B47" t="s">
        <v>114</v>
      </c>
      <c r="C47" t="s">
        <v>115</v>
      </c>
      <c r="D47" t="s">
        <v>22</v>
      </c>
      <c r="E47" t="s">
        <v>23</v>
      </c>
      <c r="F47">
        <v>3.76</v>
      </c>
      <c r="G47">
        <v>151471</v>
      </c>
      <c r="H47" t="s">
        <v>18</v>
      </c>
      <c r="I47">
        <v>8982</v>
      </c>
      <c r="J47">
        <v>0</v>
      </c>
      <c r="K47">
        <v>4.99</v>
      </c>
      <c r="L47">
        <v>48</v>
      </c>
      <c r="M47" t="s">
        <v>26</v>
      </c>
      <c r="N47">
        <v>1800</v>
      </c>
    </row>
    <row r="48" spans="1:14" x14ac:dyDescent="0.3">
      <c r="A48">
        <v>1975</v>
      </c>
      <c r="B48" t="s">
        <v>116</v>
      </c>
      <c r="C48" t="s">
        <v>117</v>
      </c>
      <c r="D48" t="s">
        <v>22</v>
      </c>
      <c r="E48" t="s">
        <v>23</v>
      </c>
      <c r="F48">
        <v>3.85</v>
      </c>
      <c r="G48">
        <v>174280</v>
      </c>
      <c r="H48" t="s">
        <v>40</v>
      </c>
      <c r="I48">
        <v>3582</v>
      </c>
      <c r="J48">
        <v>2149.1999999999998</v>
      </c>
      <c r="K48">
        <v>1.99</v>
      </c>
      <c r="L48">
        <v>48</v>
      </c>
      <c r="M48" t="s">
        <v>26</v>
      </c>
      <c r="N48">
        <v>1800</v>
      </c>
    </row>
    <row r="49" spans="1:14" x14ac:dyDescent="0.3">
      <c r="A49">
        <v>1983</v>
      </c>
      <c r="B49" t="s">
        <v>118</v>
      </c>
      <c r="C49" t="s">
        <v>119</v>
      </c>
      <c r="D49" t="s">
        <v>120</v>
      </c>
      <c r="E49" t="s">
        <v>23</v>
      </c>
      <c r="F49">
        <v>3.72</v>
      </c>
      <c r="G49">
        <v>151160</v>
      </c>
      <c r="H49" t="s">
        <v>40</v>
      </c>
      <c r="I49">
        <v>1766.16</v>
      </c>
      <c r="J49">
        <v>1059.6959999999999</v>
      </c>
      <c r="K49">
        <v>0.99</v>
      </c>
      <c r="L49">
        <v>49</v>
      </c>
      <c r="M49" t="s">
        <v>26</v>
      </c>
      <c r="N49">
        <v>1784</v>
      </c>
    </row>
    <row r="50" spans="1:14" x14ac:dyDescent="0.3">
      <c r="A50">
        <v>1960</v>
      </c>
      <c r="B50" t="s">
        <v>121</v>
      </c>
      <c r="C50" t="s">
        <v>122</v>
      </c>
      <c r="D50" t="s">
        <v>22</v>
      </c>
      <c r="E50" t="s">
        <v>23</v>
      </c>
      <c r="F50">
        <v>4.16</v>
      </c>
      <c r="G50">
        <v>174204</v>
      </c>
      <c r="H50" t="s">
        <v>18</v>
      </c>
      <c r="I50">
        <v>10596.31</v>
      </c>
      <c r="J50">
        <v>6357.7860000000001</v>
      </c>
      <c r="K50">
        <v>5.99</v>
      </c>
      <c r="L50">
        <v>50</v>
      </c>
      <c r="M50" t="s">
        <v>33</v>
      </c>
      <c r="N50">
        <v>1769</v>
      </c>
    </row>
    <row r="51" spans="1:14" x14ac:dyDescent="0.3">
      <c r="A51">
        <v>1950</v>
      </c>
      <c r="B51" t="s">
        <v>123</v>
      </c>
      <c r="C51" t="s">
        <v>124</v>
      </c>
      <c r="D51" t="s">
        <v>16</v>
      </c>
      <c r="E51" t="s">
        <v>23</v>
      </c>
      <c r="F51">
        <v>3.83</v>
      </c>
      <c r="G51">
        <v>164708</v>
      </c>
      <c r="H51" t="s">
        <v>18</v>
      </c>
      <c r="I51">
        <v>15058.27</v>
      </c>
      <c r="J51">
        <v>9034.9619999999995</v>
      </c>
      <c r="K51">
        <v>8.59</v>
      </c>
      <c r="L51">
        <v>51</v>
      </c>
      <c r="M51" t="s">
        <v>30</v>
      </c>
      <c r="N51">
        <v>1753</v>
      </c>
    </row>
    <row r="52" spans="1:14" x14ac:dyDescent="0.3">
      <c r="A52">
        <v>2013</v>
      </c>
      <c r="B52" t="s">
        <v>125</v>
      </c>
      <c r="C52" t="s">
        <v>126</v>
      </c>
      <c r="D52" t="s">
        <v>22</v>
      </c>
      <c r="E52" t="s">
        <v>23</v>
      </c>
      <c r="F52">
        <v>4.3</v>
      </c>
      <c r="G52">
        <v>193766</v>
      </c>
      <c r="H52" t="s">
        <v>18</v>
      </c>
      <c r="I52">
        <v>1720.62</v>
      </c>
      <c r="J52">
        <v>1032.3720000000001</v>
      </c>
      <c r="K52">
        <v>0.99</v>
      </c>
      <c r="L52">
        <v>52</v>
      </c>
      <c r="M52" t="s">
        <v>26</v>
      </c>
      <c r="N52">
        <v>1738</v>
      </c>
    </row>
    <row r="53" spans="1:14" x14ac:dyDescent="0.3">
      <c r="A53">
        <v>1997</v>
      </c>
      <c r="B53" t="s">
        <v>127</v>
      </c>
      <c r="C53" t="s">
        <v>128</v>
      </c>
      <c r="D53" t="s">
        <v>22</v>
      </c>
      <c r="E53" t="s">
        <v>23</v>
      </c>
      <c r="F53">
        <v>3.95</v>
      </c>
      <c r="G53">
        <v>153764</v>
      </c>
      <c r="H53" t="s">
        <v>18</v>
      </c>
      <c r="I53">
        <v>1705.77</v>
      </c>
      <c r="J53">
        <v>1023.462</v>
      </c>
      <c r="K53">
        <v>0.99</v>
      </c>
      <c r="L53">
        <v>53</v>
      </c>
      <c r="M53" t="s">
        <v>45</v>
      </c>
      <c r="N53">
        <v>1723</v>
      </c>
    </row>
    <row r="54" spans="1:14" x14ac:dyDescent="0.3">
      <c r="A54">
        <v>2011</v>
      </c>
      <c r="B54" t="s">
        <v>129</v>
      </c>
      <c r="C54" t="s">
        <v>130</v>
      </c>
      <c r="D54" t="s">
        <v>22</v>
      </c>
      <c r="E54" t="s">
        <v>23</v>
      </c>
      <c r="F54">
        <v>4.16</v>
      </c>
      <c r="G54">
        <v>190722</v>
      </c>
      <c r="H54" t="s">
        <v>18</v>
      </c>
      <c r="I54">
        <v>8517.93</v>
      </c>
      <c r="J54">
        <v>0</v>
      </c>
      <c r="K54">
        <v>4.99</v>
      </c>
      <c r="L54">
        <v>54</v>
      </c>
      <c r="M54" t="s">
        <v>26</v>
      </c>
      <c r="N54">
        <v>1707</v>
      </c>
    </row>
    <row r="55" spans="1:14" x14ac:dyDescent="0.3">
      <c r="A55">
        <v>2009</v>
      </c>
      <c r="B55" t="s">
        <v>131</v>
      </c>
      <c r="C55" t="s">
        <v>132</v>
      </c>
      <c r="D55" t="s">
        <v>22</v>
      </c>
      <c r="E55" t="s">
        <v>17</v>
      </c>
      <c r="F55">
        <v>3.47</v>
      </c>
      <c r="G55">
        <v>147908</v>
      </c>
      <c r="H55" t="s">
        <v>18</v>
      </c>
      <c r="I55">
        <v>1675.08</v>
      </c>
      <c r="J55">
        <v>1005.048</v>
      </c>
      <c r="K55">
        <v>0.99</v>
      </c>
      <c r="L55">
        <v>55</v>
      </c>
      <c r="M55" t="s">
        <v>133</v>
      </c>
      <c r="N55">
        <v>1692</v>
      </c>
    </row>
    <row r="56" spans="1:14" x14ac:dyDescent="0.3">
      <c r="A56">
        <v>2004</v>
      </c>
      <c r="B56" t="s">
        <v>134</v>
      </c>
      <c r="C56" t="s">
        <v>135</v>
      </c>
      <c r="D56" t="s">
        <v>22</v>
      </c>
      <c r="E56" t="s">
        <v>52</v>
      </c>
      <c r="F56">
        <v>4.42</v>
      </c>
      <c r="G56">
        <v>139501</v>
      </c>
      <c r="H56" t="s">
        <v>18</v>
      </c>
      <c r="I56">
        <v>6687.24</v>
      </c>
      <c r="J56">
        <v>0</v>
      </c>
      <c r="K56">
        <v>3.99</v>
      </c>
      <c r="L56">
        <v>56</v>
      </c>
      <c r="M56" t="s">
        <v>26</v>
      </c>
      <c r="N56">
        <v>1676</v>
      </c>
    </row>
    <row r="57" spans="1:14" x14ac:dyDescent="0.3">
      <c r="A57">
        <v>2003</v>
      </c>
      <c r="B57" t="s">
        <v>136</v>
      </c>
      <c r="C57" t="s">
        <v>137</v>
      </c>
      <c r="D57" t="s">
        <v>22</v>
      </c>
      <c r="E57" t="s">
        <v>23</v>
      </c>
      <c r="F57">
        <v>3.79</v>
      </c>
      <c r="G57">
        <v>173613</v>
      </c>
      <c r="H57" t="s">
        <v>18</v>
      </c>
      <c r="I57">
        <v>4966.3900000000003</v>
      </c>
      <c r="J57">
        <v>2979.8339999999998</v>
      </c>
      <c r="K57">
        <v>2.99</v>
      </c>
      <c r="L57">
        <v>57</v>
      </c>
      <c r="M57" t="s">
        <v>33</v>
      </c>
      <c r="N57">
        <v>1661</v>
      </c>
    </row>
    <row r="58" spans="1:14" x14ac:dyDescent="0.3">
      <c r="A58">
        <v>2002</v>
      </c>
      <c r="B58" t="s">
        <v>138</v>
      </c>
      <c r="C58" t="s">
        <v>139</v>
      </c>
      <c r="D58" t="s">
        <v>22</v>
      </c>
      <c r="E58" t="s">
        <v>23</v>
      </c>
      <c r="F58">
        <v>3.9</v>
      </c>
      <c r="G58">
        <v>131492</v>
      </c>
      <c r="H58" t="s">
        <v>18</v>
      </c>
      <c r="I58">
        <v>1629.54</v>
      </c>
      <c r="J58">
        <v>977.72400000000005</v>
      </c>
      <c r="K58">
        <v>0.99</v>
      </c>
      <c r="L58">
        <v>58</v>
      </c>
      <c r="M58" t="s">
        <v>26</v>
      </c>
      <c r="N58">
        <v>1646</v>
      </c>
    </row>
    <row r="59" spans="1:14" x14ac:dyDescent="0.3">
      <c r="A59">
        <v>1986</v>
      </c>
      <c r="B59" t="s">
        <v>140</v>
      </c>
      <c r="C59" t="s">
        <v>141</v>
      </c>
      <c r="D59" t="s">
        <v>16</v>
      </c>
      <c r="E59" t="s">
        <v>23</v>
      </c>
      <c r="F59">
        <v>4.09</v>
      </c>
      <c r="G59">
        <v>142168</v>
      </c>
      <c r="H59" t="s">
        <v>18</v>
      </c>
      <c r="I59">
        <v>17783.3</v>
      </c>
      <c r="J59">
        <v>10669.98</v>
      </c>
      <c r="K59">
        <v>10.91</v>
      </c>
      <c r="L59">
        <v>59</v>
      </c>
      <c r="M59" t="s">
        <v>33</v>
      </c>
      <c r="N59">
        <v>1630</v>
      </c>
    </row>
    <row r="60" spans="1:14" x14ac:dyDescent="0.3">
      <c r="A60">
        <v>2012</v>
      </c>
      <c r="B60" t="s">
        <v>142</v>
      </c>
      <c r="C60" t="s">
        <v>143</v>
      </c>
      <c r="D60" t="s">
        <v>144</v>
      </c>
      <c r="E60" t="s">
        <v>23</v>
      </c>
      <c r="F60">
        <v>4.1100000000000003</v>
      </c>
      <c r="G60">
        <v>133937</v>
      </c>
      <c r="H60" t="s">
        <v>18</v>
      </c>
      <c r="I60">
        <v>1613.7</v>
      </c>
      <c r="J60">
        <v>0</v>
      </c>
      <c r="K60">
        <v>0.99</v>
      </c>
      <c r="L60">
        <v>59</v>
      </c>
      <c r="M60" t="s">
        <v>26</v>
      </c>
      <c r="N60">
        <v>1630</v>
      </c>
    </row>
    <row r="61" spans="1:14" x14ac:dyDescent="0.3">
      <c r="A61">
        <v>1849</v>
      </c>
      <c r="B61" t="s">
        <v>145</v>
      </c>
      <c r="C61" t="s">
        <v>146</v>
      </c>
      <c r="D61" t="s">
        <v>22</v>
      </c>
      <c r="E61" t="s">
        <v>23</v>
      </c>
      <c r="F61">
        <v>3.96</v>
      </c>
      <c r="G61">
        <v>150512</v>
      </c>
      <c r="H61" t="s">
        <v>18</v>
      </c>
      <c r="I61">
        <v>18394.849999999999</v>
      </c>
      <c r="J61">
        <v>11036.91</v>
      </c>
      <c r="K61">
        <v>11.39</v>
      </c>
      <c r="L61">
        <v>60</v>
      </c>
      <c r="M61" t="s">
        <v>30</v>
      </c>
      <c r="N61">
        <v>1615</v>
      </c>
    </row>
    <row r="62" spans="1:14" x14ac:dyDescent="0.3">
      <c r="A62">
        <v>2007</v>
      </c>
      <c r="B62" t="s">
        <v>147</v>
      </c>
      <c r="C62" t="s">
        <v>148</v>
      </c>
      <c r="D62" t="s">
        <v>22</v>
      </c>
      <c r="E62" t="s">
        <v>23</v>
      </c>
      <c r="F62">
        <v>4.1100000000000003</v>
      </c>
      <c r="G62">
        <v>160607</v>
      </c>
      <c r="H62" t="s">
        <v>18</v>
      </c>
      <c r="I62">
        <v>10384</v>
      </c>
      <c r="J62">
        <v>6230.4</v>
      </c>
      <c r="K62">
        <v>6.49</v>
      </c>
      <c r="L62">
        <v>61</v>
      </c>
      <c r="M62" t="s">
        <v>45</v>
      </c>
      <c r="N62">
        <v>1600</v>
      </c>
    </row>
    <row r="63" spans="1:14" x14ac:dyDescent="0.3">
      <c r="A63">
        <v>1967</v>
      </c>
      <c r="B63" t="s">
        <v>149</v>
      </c>
      <c r="C63" t="s">
        <v>150</v>
      </c>
      <c r="D63" t="s">
        <v>22</v>
      </c>
      <c r="E63" t="s">
        <v>23</v>
      </c>
      <c r="F63">
        <v>4.32</v>
      </c>
      <c r="G63">
        <v>131389</v>
      </c>
      <c r="H63" t="s">
        <v>18</v>
      </c>
      <c r="I63">
        <v>6320.16</v>
      </c>
      <c r="J63">
        <v>0</v>
      </c>
      <c r="K63">
        <v>3.99</v>
      </c>
      <c r="L63">
        <v>62</v>
      </c>
      <c r="M63" t="s">
        <v>26</v>
      </c>
      <c r="N63">
        <v>1584</v>
      </c>
    </row>
    <row r="64" spans="1:14" x14ac:dyDescent="0.3">
      <c r="A64">
        <v>1968</v>
      </c>
      <c r="B64" t="s">
        <v>151</v>
      </c>
      <c r="C64" t="s">
        <v>152</v>
      </c>
      <c r="D64" t="s">
        <v>16</v>
      </c>
      <c r="E64" t="s">
        <v>23</v>
      </c>
      <c r="F64">
        <v>3.99</v>
      </c>
      <c r="G64">
        <v>155042</v>
      </c>
      <c r="H64" t="s">
        <v>18</v>
      </c>
      <c r="I64">
        <v>4707</v>
      </c>
      <c r="J64">
        <v>0</v>
      </c>
      <c r="K64">
        <v>3</v>
      </c>
      <c r="L64">
        <v>63</v>
      </c>
      <c r="M64" t="s">
        <v>26</v>
      </c>
      <c r="N64">
        <v>1569</v>
      </c>
    </row>
    <row r="65" spans="1:14" x14ac:dyDescent="0.3">
      <c r="A65">
        <v>2000</v>
      </c>
      <c r="B65" t="s">
        <v>153</v>
      </c>
      <c r="C65" t="s">
        <v>154</v>
      </c>
      <c r="D65" t="s">
        <v>22</v>
      </c>
      <c r="E65" t="s">
        <v>23</v>
      </c>
      <c r="F65">
        <v>4</v>
      </c>
      <c r="G65">
        <v>154476</v>
      </c>
      <c r="H65" t="s">
        <v>18</v>
      </c>
      <c r="I65">
        <v>1522.62</v>
      </c>
      <c r="J65">
        <v>0</v>
      </c>
      <c r="K65">
        <v>0.99</v>
      </c>
      <c r="L65">
        <v>65</v>
      </c>
      <c r="M65" t="s">
        <v>26</v>
      </c>
      <c r="N65">
        <v>1538</v>
      </c>
    </row>
    <row r="66" spans="1:14" x14ac:dyDescent="0.3">
      <c r="A66">
        <v>1959</v>
      </c>
      <c r="B66" t="s">
        <v>155</v>
      </c>
      <c r="C66" t="s">
        <v>156</v>
      </c>
      <c r="D66" t="s">
        <v>16</v>
      </c>
      <c r="E66" t="s">
        <v>23</v>
      </c>
      <c r="F66">
        <v>3.56</v>
      </c>
      <c r="G66">
        <v>155901</v>
      </c>
      <c r="H66" t="s">
        <v>18</v>
      </c>
      <c r="I66">
        <v>5924.47</v>
      </c>
      <c r="J66">
        <v>0</v>
      </c>
      <c r="K66">
        <v>3.89</v>
      </c>
      <c r="L66">
        <v>66</v>
      </c>
      <c r="M66" t="s">
        <v>26</v>
      </c>
      <c r="N66">
        <v>1523</v>
      </c>
    </row>
    <row r="67" spans="1:14" x14ac:dyDescent="0.3">
      <c r="A67">
        <v>1995</v>
      </c>
      <c r="B67" t="s">
        <v>157</v>
      </c>
      <c r="C67" t="s">
        <v>158</v>
      </c>
      <c r="D67" t="s">
        <v>22</v>
      </c>
      <c r="E67" t="s">
        <v>23</v>
      </c>
      <c r="F67">
        <v>3.91</v>
      </c>
      <c r="G67">
        <v>137412</v>
      </c>
      <c r="H67" t="s">
        <v>18</v>
      </c>
      <c r="I67">
        <v>12040.93</v>
      </c>
      <c r="J67">
        <v>0</v>
      </c>
      <c r="K67">
        <v>7.99</v>
      </c>
      <c r="L67">
        <v>67</v>
      </c>
      <c r="M67" t="s">
        <v>26</v>
      </c>
      <c r="N67">
        <v>1507</v>
      </c>
    </row>
    <row r="68" spans="1:14" x14ac:dyDescent="0.3">
      <c r="A68">
        <v>1605</v>
      </c>
      <c r="B68" t="s">
        <v>159</v>
      </c>
      <c r="C68" t="s">
        <v>160</v>
      </c>
      <c r="D68" t="s">
        <v>22</v>
      </c>
      <c r="E68" t="s">
        <v>23</v>
      </c>
      <c r="F68">
        <v>3.85</v>
      </c>
      <c r="G68">
        <v>134931</v>
      </c>
      <c r="H68" t="s">
        <v>18</v>
      </c>
      <c r="I68">
        <v>13413.08</v>
      </c>
      <c r="J68">
        <v>8047.848</v>
      </c>
      <c r="K68">
        <v>8.99</v>
      </c>
      <c r="L68">
        <v>68</v>
      </c>
      <c r="M68" t="s">
        <v>30</v>
      </c>
      <c r="N68">
        <v>1492</v>
      </c>
    </row>
    <row r="69" spans="1:14" x14ac:dyDescent="0.3">
      <c r="A69">
        <v>1995</v>
      </c>
      <c r="B69" t="s">
        <v>161</v>
      </c>
      <c r="C69" t="s">
        <v>162</v>
      </c>
      <c r="D69" t="s">
        <v>22</v>
      </c>
      <c r="E69" t="s">
        <v>23</v>
      </c>
      <c r="F69">
        <v>4.1399999999999997</v>
      </c>
      <c r="G69">
        <v>132777</v>
      </c>
      <c r="H69" t="s">
        <v>18</v>
      </c>
      <c r="I69">
        <v>2907.39</v>
      </c>
      <c r="J69">
        <v>0</v>
      </c>
      <c r="K69">
        <v>1.99</v>
      </c>
      <c r="L69">
        <v>70</v>
      </c>
      <c r="M69" t="s">
        <v>26</v>
      </c>
      <c r="N69">
        <v>1461</v>
      </c>
    </row>
    <row r="70" spans="1:14" x14ac:dyDescent="0.3">
      <c r="A70">
        <v>1980</v>
      </c>
      <c r="B70" t="s">
        <v>163</v>
      </c>
      <c r="C70" t="s">
        <v>164</v>
      </c>
      <c r="D70" t="s">
        <v>22</v>
      </c>
      <c r="E70" t="s">
        <v>23</v>
      </c>
      <c r="F70">
        <v>4.22</v>
      </c>
      <c r="G70">
        <v>153838</v>
      </c>
      <c r="H70" t="s">
        <v>18</v>
      </c>
      <c r="I70">
        <v>11553.54</v>
      </c>
      <c r="J70">
        <v>6932.1239999999998</v>
      </c>
      <c r="K70">
        <v>7.99</v>
      </c>
      <c r="L70">
        <v>71</v>
      </c>
      <c r="M70" t="s">
        <v>33</v>
      </c>
      <c r="N70">
        <v>1446</v>
      </c>
    </row>
    <row r="71" spans="1:14" x14ac:dyDescent="0.3">
      <c r="A71">
        <v>2010</v>
      </c>
      <c r="B71" t="s">
        <v>165</v>
      </c>
      <c r="C71" t="s">
        <v>166</v>
      </c>
      <c r="D71" t="s">
        <v>22</v>
      </c>
      <c r="E71" t="s">
        <v>23</v>
      </c>
      <c r="F71">
        <v>3.89</v>
      </c>
      <c r="G71">
        <v>174393</v>
      </c>
      <c r="H71" t="s">
        <v>18</v>
      </c>
      <c r="I71">
        <v>5705.7</v>
      </c>
      <c r="J71">
        <v>0</v>
      </c>
      <c r="K71">
        <v>3.99</v>
      </c>
      <c r="L71">
        <v>72</v>
      </c>
      <c r="M71" t="s">
        <v>26</v>
      </c>
      <c r="N71">
        <v>1430</v>
      </c>
    </row>
    <row r="72" spans="1:14" x14ac:dyDescent="0.3">
      <c r="A72">
        <v>1901</v>
      </c>
      <c r="B72" t="s">
        <v>167</v>
      </c>
      <c r="C72" t="s">
        <v>168</v>
      </c>
      <c r="D72" t="s">
        <v>22</v>
      </c>
      <c r="E72" t="s">
        <v>23</v>
      </c>
      <c r="F72">
        <v>4.17</v>
      </c>
      <c r="G72">
        <v>162373</v>
      </c>
      <c r="H72" t="s">
        <v>18</v>
      </c>
      <c r="I72">
        <v>9890.85</v>
      </c>
      <c r="J72">
        <v>5934.51</v>
      </c>
      <c r="K72">
        <v>6.99</v>
      </c>
      <c r="L72">
        <v>73</v>
      </c>
      <c r="M72" t="s">
        <v>33</v>
      </c>
      <c r="N72">
        <v>1415</v>
      </c>
    </row>
    <row r="73" spans="1:14" x14ac:dyDescent="0.3">
      <c r="A73">
        <v>1953</v>
      </c>
      <c r="B73" t="s">
        <v>169</v>
      </c>
      <c r="C73" t="s">
        <v>170</v>
      </c>
      <c r="D73" t="s">
        <v>22</v>
      </c>
      <c r="E73" t="s">
        <v>23</v>
      </c>
      <c r="F73">
        <v>3.95</v>
      </c>
      <c r="G73">
        <v>170453</v>
      </c>
      <c r="H73" t="s">
        <v>18</v>
      </c>
      <c r="I73">
        <v>5245.36</v>
      </c>
      <c r="J73">
        <v>3147.2159999999999</v>
      </c>
      <c r="K73">
        <v>3.79</v>
      </c>
      <c r="L73">
        <v>75</v>
      </c>
      <c r="M73" t="s">
        <v>30</v>
      </c>
      <c r="N73">
        <v>1384</v>
      </c>
    </row>
    <row r="74" spans="1:14" x14ac:dyDescent="0.3">
      <c r="A74">
        <v>2008</v>
      </c>
      <c r="B74" t="s">
        <v>171</v>
      </c>
      <c r="C74" t="s">
        <v>90</v>
      </c>
      <c r="D74" t="s">
        <v>22</v>
      </c>
      <c r="E74" t="s">
        <v>52</v>
      </c>
      <c r="F74">
        <v>4.46</v>
      </c>
      <c r="G74">
        <v>143622</v>
      </c>
      <c r="H74" t="s">
        <v>40</v>
      </c>
      <c r="I74">
        <v>5826.64</v>
      </c>
      <c r="J74">
        <v>3495.9839999999999</v>
      </c>
      <c r="K74">
        <v>4.21</v>
      </c>
      <c r="L74">
        <v>75</v>
      </c>
      <c r="M74" t="s">
        <v>26</v>
      </c>
      <c r="N74">
        <v>1384</v>
      </c>
    </row>
    <row r="75" spans="1:14" x14ac:dyDescent="0.3">
      <c r="A75">
        <v>1993</v>
      </c>
      <c r="B75" t="s">
        <v>172</v>
      </c>
      <c r="C75" t="s">
        <v>173</v>
      </c>
      <c r="D75" t="s">
        <v>22</v>
      </c>
      <c r="E75" t="s">
        <v>23</v>
      </c>
      <c r="F75">
        <v>3.9</v>
      </c>
      <c r="G75">
        <v>145161</v>
      </c>
      <c r="H75" t="s">
        <v>18</v>
      </c>
      <c r="I75">
        <v>2724.31</v>
      </c>
      <c r="J75">
        <v>1634.586</v>
      </c>
      <c r="K75">
        <v>1.99</v>
      </c>
      <c r="L75">
        <v>76</v>
      </c>
      <c r="M75" t="s">
        <v>30</v>
      </c>
      <c r="N75">
        <v>1369</v>
      </c>
    </row>
    <row r="76" spans="1:14" x14ac:dyDescent="0.3">
      <c r="A76">
        <v>2007</v>
      </c>
      <c r="B76" t="s">
        <v>174</v>
      </c>
      <c r="C76" t="s">
        <v>175</v>
      </c>
      <c r="D76" t="s">
        <v>16</v>
      </c>
      <c r="E76" t="s">
        <v>23</v>
      </c>
      <c r="F76">
        <v>3.85</v>
      </c>
      <c r="G76">
        <v>127096</v>
      </c>
      <c r="H76" t="s">
        <v>18</v>
      </c>
      <c r="I76">
        <v>5462.31</v>
      </c>
      <c r="J76">
        <v>3277.386</v>
      </c>
      <c r="K76">
        <v>3.99</v>
      </c>
      <c r="L76">
        <v>76</v>
      </c>
      <c r="M76" t="s">
        <v>30</v>
      </c>
      <c r="N76">
        <v>1369</v>
      </c>
    </row>
    <row r="77" spans="1:14" x14ac:dyDescent="0.3">
      <c r="A77">
        <v>1970</v>
      </c>
      <c r="B77" t="s">
        <v>176</v>
      </c>
      <c r="C77" t="s">
        <v>177</v>
      </c>
      <c r="D77" t="s">
        <v>16</v>
      </c>
      <c r="E77" t="s">
        <v>23</v>
      </c>
      <c r="F77">
        <v>3.8</v>
      </c>
      <c r="G77">
        <v>133728</v>
      </c>
      <c r="H77" t="s">
        <v>18</v>
      </c>
      <c r="I77">
        <v>6751.47</v>
      </c>
      <c r="J77">
        <v>0</v>
      </c>
      <c r="K77">
        <v>4.99</v>
      </c>
      <c r="L77">
        <v>77</v>
      </c>
      <c r="M77" t="s">
        <v>26</v>
      </c>
      <c r="N77">
        <v>1353</v>
      </c>
    </row>
    <row r="78" spans="1:14" x14ac:dyDescent="0.3">
      <c r="A78">
        <v>2014</v>
      </c>
      <c r="B78" t="s">
        <v>178</v>
      </c>
      <c r="C78" t="s">
        <v>179</v>
      </c>
      <c r="D78" t="s">
        <v>22</v>
      </c>
      <c r="E78" t="s">
        <v>52</v>
      </c>
      <c r="F78">
        <v>4.4800000000000004</v>
      </c>
      <c r="G78">
        <v>177796</v>
      </c>
      <c r="H78" t="s">
        <v>18</v>
      </c>
      <c r="I78">
        <v>6676.62</v>
      </c>
      <c r="J78">
        <v>0</v>
      </c>
      <c r="K78">
        <v>4.99</v>
      </c>
      <c r="L78">
        <v>78</v>
      </c>
      <c r="M78" t="s">
        <v>26</v>
      </c>
      <c r="N78">
        <v>1338</v>
      </c>
    </row>
    <row r="79" spans="1:14" x14ac:dyDescent="0.3">
      <c r="A79">
        <v>1986</v>
      </c>
      <c r="B79" t="s">
        <v>180</v>
      </c>
      <c r="C79" t="s">
        <v>181</v>
      </c>
      <c r="D79" t="s">
        <v>92</v>
      </c>
      <c r="E79" t="s">
        <v>23</v>
      </c>
      <c r="F79">
        <v>4.34</v>
      </c>
      <c r="G79">
        <v>159703</v>
      </c>
      <c r="H79" t="s">
        <v>18</v>
      </c>
      <c r="I79">
        <v>1309.77</v>
      </c>
      <c r="J79">
        <v>785.86199999999997</v>
      </c>
      <c r="K79">
        <v>0.99</v>
      </c>
      <c r="L79">
        <v>79</v>
      </c>
      <c r="M79" t="s">
        <v>26</v>
      </c>
      <c r="N79">
        <v>1323</v>
      </c>
    </row>
    <row r="80" spans="1:14" x14ac:dyDescent="0.3">
      <c r="A80">
        <v>2006</v>
      </c>
      <c r="B80" t="s">
        <v>182</v>
      </c>
      <c r="C80" t="s">
        <v>73</v>
      </c>
      <c r="D80" t="s">
        <v>16</v>
      </c>
      <c r="E80" t="s">
        <v>23</v>
      </c>
      <c r="F80">
        <v>3.64</v>
      </c>
      <c r="G80">
        <v>144591</v>
      </c>
      <c r="H80" t="s">
        <v>18</v>
      </c>
      <c r="I80">
        <v>5933.78</v>
      </c>
      <c r="J80">
        <v>3560.268</v>
      </c>
      <c r="K80">
        <v>4.54</v>
      </c>
      <c r="L80">
        <v>80</v>
      </c>
      <c r="M80" t="s">
        <v>19</v>
      </c>
      <c r="N80">
        <v>1307</v>
      </c>
    </row>
    <row r="81" spans="1:14" x14ac:dyDescent="0.3">
      <c r="A81">
        <v>2013</v>
      </c>
      <c r="B81" t="s">
        <v>183</v>
      </c>
      <c r="C81" t="s">
        <v>184</v>
      </c>
      <c r="D81" t="s">
        <v>22</v>
      </c>
      <c r="E81" t="s">
        <v>23</v>
      </c>
      <c r="F81">
        <v>4.32</v>
      </c>
      <c r="G81">
        <v>113565</v>
      </c>
      <c r="H81" t="s">
        <v>18</v>
      </c>
      <c r="I81">
        <v>8482.43</v>
      </c>
      <c r="J81">
        <v>5089.4579999999996</v>
      </c>
      <c r="K81">
        <v>6.49</v>
      </c>
      <c r="L81">
        <v>80</v>
      </c>
      <c r="M81" t="s">
        <v>30</v>
      </c>
      <c r="N81">
        <v>1307</v>
      </c>
    </row>
    <row r="82" spans="1:14" x14ac:dyDescent="0.3">
      <c r="A82">
        <v>1977</v>
      </c>
      <c r="B82" t="s">
        <v>185</v>
      </c>
      <c r="C82" t="s">
        <v>186</v>
      </c>
      <c r="D82" t="s">
        <v>22</v>
      </c>
      <c r="E82" t="s">
        <v>23</v>
      </c>
      <c r="F82">
        <v>3.87</v>
      </c>
      <c r="G82">
        <v>134106</v>
      </c>
      <c r="H82" t="s">
        <v>18</v>
      </c>
      <c r="I82">
        <v>6447.08</v>
      </c>
      <c r="J82">
        <v>3868.248</v>
      </c>
      <c r="K82">
        <v>4.99</v>
      </c>
      <c r="L82">
        <v>81</v>
      </c>
      <c r="M82" t="s">
        <v>45</v>
      </c>
      <c r="N82">
        <v>1292</v>
      </c>
    </row>
    <row r="83" spans="1:14" x14ac:dyDescent="0.3">
      <c r="A83">
        <v>1987</v>
      </c>
      <c r="B83" t="s">
        <v>187</v>
      </c>
      <c r="C83" t="s">
        <v>73</v>
      </c>
      <c r="D83" t="s">
        <v>22</v>
      </c>
      <c r="E83" t="s">
        <v>23</v>
      </c>
      <c r="F83">
        <v>4.2300000000000004</v>
      </c>
      <c r="G83">
        <v>139052</v>
      </c>
      <c r="H83" t="s">
        <v>40</v>
      </c>
      <c r="I83">
        <v>2539.2399999999998</v>
      </c>
      <c r="J83">
        <v>1523.5440000000001</v>
      </c>
      <c r="K83">
        <v>1.99</v>
      </c>
      <c r="L83">
        <v>82</v>
      </c>
      <c r="M83" t="s">
        <v>19</v>
      </c>
      <c r="N83">
        <v>1276</v>
      </c>
    </row>
    <row r="84" spans="1:14" x14ac:dyDescent="0.3">
      <c r="A84">
        <v>2008</v>
      </c>
      <c r="B84" t="s">
        <v>188</v>
      </c>
      <c r="C84" t="s">
        <v>189</v>
      </c>
      <c r="D84" t="s">
        <v>92</v>
      </c>
      <c r="E84" t="s">
        <v>23</v>
      </c>
      <c r="F84">
        <v>4.12</v>
      </c>
      <c r="G84">
        <v>138377</v>
      </c>
      <c r="H84" t="s">
        <v>18</v>
      </c>
      <c r="I84">
        <v>4907.7</v>
      </c>
      <c r="J84">
        <v>0</v>
      </c>
      <c r="K84">
        <v>3.99</v>
      </c>
      <c r="L84">
        <v>85</v>
      </c>
      <c r="M84" t="s">
        <v>26</v>
      </c>
      <c r="N84">
        <v>1230</v>
      </c>
    </row>
    <row r="85" spans="1:14" x14ac:dyDescent="0.3">
      <c r="A85">
        <v>1925</v>
      </c>
      <c r="B85" t="s">
        <v>190</v>
      </c>
      <c r="C85" t="s">
        <v>191</v>
      </c>
      <c r="D85" t="s">
        <v>22</v>
      </c>
      <c r="E85" t="s">
        <v>23</v>
      </c>
      <c r="F85">
        <v>3.98</v>
      </c>
      <c r="G85">
        <v>131856</v>
      </c>
      <c r="H85" t="s">
        <v>18</v>
      </c>
      <c r="I85">
        <v>1202.8499999999999</v>
      </c>
      <c r="J85">
        <v>0</v>
      </c>
      <c r="K85">
        <v>0.99</v>
      </c>
      <c r="L85">
        <v>86</v>
      </c>
      <c r="M85" t="s">
        <v>26</v>
      </c>
      <c r="N85">
        <v>1215</v>
      </c>
    </row>
    <row r="86" spans="1:14" x14ac:dyDescent="0.3">
      <c r="A86">
        <v>2002</v>
      </c>
      <c r="B86" t="s">
        <v>192</v>
      </c>
      <c r="C86" t="s">
        <v>47</v>
      </c>
      <c r="D86" t="s">
        <v>22</v>
      </c>
      <c r="E86" t="s">
        <v>23</v>
      </c>
      <c r="F86">
        <v>4.03</v>
      </c>
      <c r="G86">
        <v>151829</v>
      </c>
      <c r="H86" t="s">
        <v>18</v>
      </c>
      <c r="I86">
        <v>2417.85</v>
      </c>
      <c r="J86">
        <v>1450.71</v>
      </c>
      <c r="K86">
        <v>1.99</v>
      </c>
      <c r="L86">
        <v>86</v>
      </c>
      <c r="M86" t="s">
        <v>19</v>
      </c>
      <c r="N86">
        <v>1215</v>
      </c>
    </row>
    <row r="87" spans="1:14" x14ac:dyDescent="0.3">
      <c r="A87">
        <v>2000</v>
      </c>
      <c r="B87" t="s">
        <v>193</v>
      </c>
      <c r="C87" t="s">
        <v>194</v>
      </c>
      <c r="D87" t="s">
        <v>22</v>
      </c>
      <c r="E87" t="s">
        <v>23</v>
      </c>
      <c r="F87">
        <v>3.97</v>
      </c>
      <c r="G87">
        <v>128406</v>
      </c>
      <c r="H87" t="s">
        <v>18</v>
      </c>
      <c r="I87">
        <v>1188</v>
      </c>
      <c r="J87">
        <v>0</v>
      </c>
      <c r="K87">
        <v>0.99</v>
      </c>
      <c r="L87">
        <v>87</v>
      </c>
      <c r="M87" t="s">
        <v>26</v>
      </c>
      <c r="N87">
        <v>1200</v>
      </c>
    </row>
    <row r="88" spans="1:14" x14ac:dyDescent="0.3">
      <c r="A88">
        <v>2010</v>
      </c>
      <c r="B88" t="s">
        <v>195</v>
      </c>
      <c r="C88" t="s">
        <v>196</v>
      </c>
      <c r="D88" t="s">
        <v>22</v>
      </c>
      <c r="E88" t="s">
        <v>23</v>
      </c>
      <c r="F88">
        <v>3.7</v>
      </c>
      <c r="G88">
        <v>127186</v>
      </c>
      <c r="H88" t="s">
        <v>29</v>
      </c>
      <c r="I88">
        <v>2388</v>
      </c>
      <c r="J88">
        <v>0</v>
      </c>
      <c r="K88">
        <v>1.99</v>
      </c>
      <c r="L88">
        <v>87</v>
      </c>
      <c r="M88" t="s">
        <v>26</v>
      </c>
      <c r="N88">
        <v>1200</v>
      </c>
    </row>
    <row r="89" spans="1:14" x14ac:dyDescent="0.3">
      <c r="A89">
        <v>1902</v>
      </c>
      <c r="B89" t="s">
        <v>197</v>
      </c>
      <c r="C89" t="s">
        <v>198</v>
      </c>
      <c r="D89" t="s">
        <v>22</v>
      </c>
      <c r="E89" t="s">
        <v>23</v>
      </c>
      <c r="F89">
        <v>4.09</v>
      </c>
      <c r="G89">
        <v>154517</v>
      </c>
      <c r="H89" t="s">
        <v>18</v>
      </c>
      <c r="I89">
        <v>2356.16</v>
      </c>
      <c r="J89">
        <v>1413.6959999999999</v>
      </c>
      <c r="K89">
        <v>1.99</v>
      </c>
      <c r="L89">
        <v>88</v>
      </c>
      <c r="M89" t="s">
        <v>133</v>
      </c>
      <c r="N89">
        <v>1184</v>
      </c>
    </row>
    <row r="90" spans="1:14" x14ac:dyDescent="0.3">
      <c r="A90">
        <v>2011</v>
      </c>
      <c r="B90" t="s">
        <v>199</v>
      </c>
      <c r="C90" t="s">
        <v>200</v>
      </c>
      <c r="D90" t="s">
        <v>22</v>
      </c>
      <c r="E90" t="s">
        <v>23</v>
      </c>
      <c r="F90">
        <v>4.08</v>
      </c>
      <c r="G90">
        <v>136950</v>
      </c>
      <c r="H90" t="s">
        <v>18</v>
      </c>
      <c r="I90">
        <v>1157.31</v>
      </c>
      <c r="J90">
        <v>694.38599999999997</v>
      </c>
      <c r="K90">
        <v>0.99</v>
      </c>
      <c r="L90">
        <v>89</v>
      </c>
      <c r="M90" t="s">
        <v>26</v>
      </c>
      <c r="N90">
        <v>1169</v>
      </c>
    </row>
    <row r="91" spans="1:14" x14ac:dyDescent="0.3">
      <c r="A91">
        <v>1982</v>
      </c>
      <c r="B91" t="s">
        <v>201</v>
      </c>
      <c r="C91" t="s">
        <v>202</v>
      </c>
      <c r="D91" t="s">
        <v>22</v>
      </c>
      <c r="E91" t="s">
        <v>23</v>
      </c>
      <c r="F91">
        <v>4.12</v>
      </c>
      <c r="G91">
        <v>157736</v>
      </c>
      <c r="H91" t="s">
        <v>18</v>
      </c>
      <c r="I91">
        <v>1157.31</v>
      </c>
      <c r="J91">
        <v>694.38599999999997</v>
      </c>
      <c r="K91">
        <v>0.99</v>
      </c>
      <c r="L91">
        <v>89</v>
      </c>
      <c r="M91" t="s">
        <v>26</v>
      </c>
      <c r="N91">
        <v>1169</v>
      </c>
    </row>
    <row r="92" spans="1:14" x14ac:dyDescent="0.3">
      <c r="A92">
        <v>1970</v>
      </c>
      <c r="B92" t="s">
        <v>203</v>
      </c>
      <c r="C92" t="s">
        <v>204</v>
      </c>
      <c r="D92" t="s">
        <v>22</v>
      </c>
      <c r="E92" t="s">
        <v>23</v>
      </c>
      <c r="F92">
        <v>3.89</v>
      </c>
      <c r="G92">
        <v>151789</v>
      </c>
      <c r="H92" t="s">
        <v>18</v>
      </c>
      <c r="I92">
        <v>1111.77</v>
      </c>
      <c r="J92">
        <v>0</v>
      </c>
      <c r="K92">
        <v>0.99</v>
      </c>
      <c r="L92">
        <v>92</v>
      </c>
      <c r="M92" t="s">
        <v>26</v>
      </c>
      <c r="N92">
        <v>1123</v>
      </c>
    </row>
    <row r="93" spans="1:14" x14ac:dyDescent="0.3">
      <c r="A93">
        <v>2002</v>
      </c>
      <c r="B93" t="s">
        <v>205</v>
      </c>
      <c r="C93" t="s">
        <v>71</v>
      </c>
      <c r="D93" t="s">
        <v>22</v>
      </c>
      <c r="E93" t="s">
        <v>23</v>
      </c>
      <c r="F93">
        <v>3.82</v>
      </c>
      <c r="G93">
        <v>129807</v>
      </c>
      <c r="H93" t="s">
        <v>18</v>
      </c>
      <c r="I93">
        <v>5603.77</v>
      </c>
      <c r="J93">
        <v>3362.2620000000002</v>
      </c>
      <c r="K93">
        <v>4.99</v>
      </c>
      <c r="L93">
        <v>92</v>
      </c>
      <c r="M93" t="s">
        <v>26</v>
      </c>
      <c r="N93">
        <v>1123</v>
      </c>
    </row>
    <row r="94" spans="1:14" x14ac:dyDescent="0.3">
      <c r="A94">
        <v>2014</v>
      </c>
      <c r="B94" t="s">
        <v>206</v>
      </c>
      <c r="C94" t="s">
        <v>73</v>
      </c>
      <c r="D94" t="s">
        <v>22</v>
      </c>
      <c r="E94" t="s">
        <v>23</v>
      </c>
      <c r="F94">
        <v>3.92</v>
      </c>
      <c r="G94">
        <v>125847</v>
      </c>
      <c r="H94" t="s">
        <v>18</v>
      </c>
      <c r="I94">
        <v>2202.9299999999998</v>
      </c>
      <c r="J94">
        <v>1321.758</v>
      </c>
      <c r="K94">
        <v>1.99</v>
      </c>
      <c r="L94">
        <v>93</v>
      </c>
      <c r="M94" t="s">
        <v>133</v>
      </c>
      <c r="N94">
        <v>1107</v>
      </c>
    </row>
    <row r="95" spans="1:14" x14ac:dyDescent="0.3">
      <c r="A95">
        <v>2007</v>
      </c>
      <c r="B95" t="s">
        <v>207</v>
      </c>
      <c r="C95" t="s">
        <v>82</v>
      </c>
      <c r="D95" t="s">
        <v>22</v>
      </c>
      <c r="E95" t="s">
        <v>23</v>
      </c>
      <c r="F95">
        <v>4.05</v>
      </c>
      <c r="G95">
        <v>162689</v>
      </c>
      <c r="H95" t="s">
        <v>18</v>
      </c>
      <c r="I95">
        <v>6983.24</v>
      </c>
      <c r="J95">
        <v>4189.9440000000004</v>
      </c>
      <c r="K95">
        <v>6.49</v>
      </c>
      <c r="L95">
        <v>95</v>
      </c>
      <c r="M95" t="s">
        <v>45</v>
      </c>
      <c r="N95">
        <v>1076</v>
      </c>
    </row>
    <row r="96" spans="1:14" x14ac:dyDescent="0.3">
      <c r="A96">
        <v>1997</v>
      </c>
      <c r="B96" t="s">
        <v>208</v>
      </c>
      <c r="C96" t="s">
        <v>209</v>
      </c>
      <c r="D96" t="s">
        <v>16</v>
      </c>
      <c r="E96" t="s">
        <v>23</v>
      </c>
      <c r="F96">
        <v>3.97</v>
      </c>
      <c r="G96">
        <v>133155</v>
      </c>
      <c r="H96" t="s">
        <v>18</v>
      </c>
      <c r="I96">
        <v>6885.89</v>
      </c>
      <c r="J96">
        <v>4131.5339999999997</v>
      </c>
      <c r="K96">
        <v>6.49</v>
      </c>
      <c r="L96">
        <v>96</v>
      </c>
      <c r="M96" t="s">
        <v>45</v>
      </c>
      <c r="N96">
        <v>1061</v>
      </c>
    </row>
    <row r="97" spans="1:14" x14ac:dyDescent="0.3">
      <c r="A97">
        <v>1985</v>
      </c>
      <c r="B97" t="s">
        <v>210</v>
      </c>
      <c r="C97" t="s">
        <v>211</v>
      </c>
      <c r="D97" t="s">
        <v>16</v>
      </c>
      <c r="E97" t="s">
        <v>23</v>
      </c>
      <c r="F97">
        <v>4.29</v>
      </c>
      <c r="G97">
        <v>168001</v>
      </c>
      <c r="H97" t="s">
        <v>40</v>
      </c>
      <c r="I97">
        <v>1035.54</v>
      </c>
      <c r="J97">
        <v>621.32399999999996</v>
      </c>
      <c r="K97">
        <v>0.99</v>
      </c>
      <c r="L97">
        <v>97</v>
      </c>
      <c r="M97" t="s">
        <v>26</v>
      </c>
      <c r="N97">
        <v>1046</v>
      </c>
    </row>
    <row r="98" spans="1:14" x14ac:dyDescent="0.3">
      <c r="A98">
        <v>1989</v>
      </c>
      <c r="B98" t="s">
        <v>212</v>
      </c>
      <c r="C98" t="s">
        <v>213</v>
      </c>
      <c r="D98" t="s">
        <v>92</v>
      </c>
      <c r="E98" t="s">
        <v>23</v>
      </c>
      <c r="F98">
        <v>4.29</v>
      </c>
      <c r="G98">
        <v>141945</v>
      </c>
      <c r="H98" t="s">
        <v>18</v>
      </c>
      <c r="I98">
        <v>1019.7</v>
      </c>
      <c r="J98">
        <v>0</v>
      </c>
      <c r="K98">
        <v>0.99</v>
      </c>
      <c r="L98">
        <v>98</v>
      </c>
      <c r="M98" t="s">
        <v>26</v>
      </c>
      <c r="N98">
        <v>1030</v>
      </c>
    </row>
    <row r="99" spans="1:14" x14ac:dyDescent="0.3">
      <c r="A99">
        <v>1987</v>
      </c>
      <c r="B99" t="s">
        <v>214</v>
      </c>
      <c r="C99" t="s">
        <v>215</v>
      </c>
      <c r="D99" t="s">
        <v>22</v>
      </c>
      <c r="E99" t="s">
        <v>23</v>
      </c>
      <c r="F99">
        <v>4.1100000000000003</v>
      </c>
      <c r="G99">
        <v>141674</v>
      </c>
      <c r="H99" t="s">
        <v>18</v>
      </c>
      <c r="I99">
        <v>6079.85</v>
      </c>
      <c r="J99">
        <v>0</v>
      </c>
      <c r="K99">
        <v>5.99</v>
      </c>
      <c r="L99">
        <v>99</v>
      </c>
      <c r="M99" t="s">
        <v>26</v>
      </c>
      <c r="N99">
        <v>1015</v>
      </c>
    </row>
    <row r="100" spans="1:14" x14ac:dyDescent="0.3">
      <c r="A100">
        <v>1998</v>
      </c>
      <c r="B100" t="s">
        <v>216</v>
      </c>
      <c r="C100" t="s">
        <v>217</v>
      </c>
      <c r="D100" t="s">
        <v>22</v>
      </c>
      <c r="E100" t="s">
        <v>23</v>
      </c>
      <c r="F100">
        <v>3.69</v>
      </c>
      <c r="G100">
        <v>111856</v>
      </c>
      <c r="H100" t="s">
        <v>18</v>
      </c>
      <c r="I100">
        <v>6932.45</v>
      </c>
      <c r="J100">
        <v>4159.47</v>
      </c>
      <c r="K100">
        <v>6.83</v>
      </c>
      <c r="L100">
        <v>99</v>
      </c>
      <c r="M100" t="s">
        <v>33</v>
      </c>
      <c r="N100">
        <v>1015</v>
      </c>
    </row>
    <row r="101" spans="1:14" x14ac:dyDescent="0.3">
      <c r="A101">
        <v>2013</v>
      </c>
      <c r="B101" t="s">
        <v>218</v>
      </c>
      <c r="C101" t="s">
        <v>219</v>
      </c>
      <c r="D101" t="s">
        <v>22</v>
      </c>
      <c r="E101" t="s">
        <v>23</v>
      </c>
      <c r="F101">
        <v>3.94</v>
      </c>
      <c r="G101">
        <v>135635</v>
      </c>
      <c r="H101" t="s">
        <v>18</v>
      </c>
      <c r="I101">
        <v>985.05</v>
      </c>
      <c r="J101">
        <v>0</v>
      </c>
      <c r="K101">
        <v>0.99</v>
      </c>
      <c r="L101">
        <v>101</v>
      </c>
      <c r="M101" t="s">
        <v>26</v>
      </c>
      <c r="N101">
        <v>995</v>
      </c>
    </row>
    <row r="102" spans="1:14" x14ac:dyDescent="0.3">
      <c r="A102">
        <v>2005</v>
      </c>
      <c r="B102" t="s">
        <v>220</v>
      </c>
      <c r="C102" t="s">
        <v>82</v>
      </c>
      <c r="D102" t="s">
        <v>22</v>
      </c>
      <c r="E102" t="s">
        <v>23</v>
      </c>
      <c r="F102">
        <v>4.01</v>
      </c>
      <c r="G102">
        <v>169560</v>
      </c>
      <c r="H102" t="s">
        <v>18</v>
      </c>
      <c r="I102">
        <v>5068.8</v>
      </c>
      <c r="J102">
        <v>3041.28</v>
      </c>
      <c r="K102">
        <v>5.12</v>
      </c>
      <c r="L102">
        <v>102</v>
      </c>
      <c r="M102" t="s">
        <v>33</v>
      </c>
      <c r="N102">
        <v>990</v>
      </c>
    </row>
    <row r="103" spans="1:14" x14ac:dyDescent="0.3">
      <c r="A103">
        <v>2011</v>
      </c>
      <c r="B103" t="s">
        <v>221</v>
      </c>
      <c r="C103" t="s">
        <v>222</v>
      </c>
      <c r="D103" t="s">
        <v>16</v>
      </c>
      <c r="E103" t="s">
        <v>23</v>
      </c>
      <c r="F103">
        <v>4.01</v>
      </c>
      <c r="G103">
        <v>176433</v>
      </c>
      <c r="H103" t="s">
        <v>29</v>
      </c>
      <c r="I103">
        <v>2195.1999999999998</v>
      </c>
      <c r="J103">
        <v>1317.12</v>
      </c>
      <c r="K103">
        <v>2.2400000000000002</v>
      </c>
      <c r="L103">
        <v>104</v>
      </c>
      <c r="M103" t="s">
        <v>26</v>
      </c>
      <c r="N103">
        <v>980</v>
      </c>
    </row>
    <row r="104" spans="1:14" x14ac:dyDescent="0.3">
      <c r="A104">
        <v>1959</v>
      </c>
      <c r="B104" t="s">
        <v>223</v>
      </c>
      <c r="C104" t="s">
        <v>224</v>
      </c>
      <c r="D104" t="s">
        <v>144</v>
      </c>
      <c r="E104" t="s">
        <v>23</v>
      </c>
      <c r="F104">
        <v>3.99</v>
      </c>
      <c r="G104">
        <v>136886</v>
      </c>
      <c r="H104" t="s">
        <v>18</v>
      </c>
      <c r="I104">
        <v>7312.5</v>
      </c>
      <c r="J104">
        <v>4387.5</v>
      </c>
      <c r="K104">
        <v>7.5</v>
      </c>
      <c r="L104">
        <v>105</v>
      </c>
      <c r="M104" t="s">
        <v>30</v>
      </c>
      <c r="N104">
        <v>975</v>
      </c>
    </row>
    <row r="105" spans="1:14" x14ac:dyDescent="0.3">
      <c r="A105">
        <v>2011</v>
      </c>
      <c r="B105" t="s">
        <v>225</v>
      </c>
      <c r="C105" t="s">
        <v>226</v>
      </c>
      <c r="D105" t="s">
        <v>22</v>
      </c>
      <c r="E105" t="s">
        <v>23</v>
      </c>
      <c r="F105">
        <v>3.93</v>
      </c>
      <c r="G105">
        <v>144533</v>
      </c>
      <c r="H105" t="s">
        <v>18</v>
      </c>
      <c r="I105">
        <v>960.3</v>
      </c>
      <c r="J105">
        <v>0</v>
      </c>
      <c r="K105">
        <v>0.99</v>
      </c>
      <c r="L105">
        <v>106</v>
      </c>
      <c r="M105" t="s">
        <v>26</v>
      </c>
      <c r="N105">
        <v>970</v>
      </c>
    </row>
    <row r="106" spans="1:14" x14ac:dyDescent="0.3">
      <c r="A106">
        <v>1991</v>
      </c>
      <c r="B106" t="s">
        <v>227</v>
      </c>
      <c r="C106" t="s">
        <v>228</v>
      </c>
      <c r="D106" t="s">
        <v>22</v>
      </c>
      <c r="E106" t="s">
        <v>23</v>
      </c>
      <c r="F106">
        <v>3.88</v>
      </c>
      <c r="G106">
        <v>109692</v>
      </c>
      <c r="H106" t="s">
        <v>18</v>
      </c>
      <c r="I106">
        <v>10224</v>
      </c>
      <c r="J106">
        <v>6134.4</v>
      </c>
      <c r="K106">
        <v>10.65</v>
      </c>
      <c r="L106">
        <v>108</v>
      </c>
      <c r="M106" t="s">
        <v>33</v>
      </c>
      <c r="N106">
        <v>960</v>
      </c>
    </row>
    <row r="107" spans="1:14" x14ac:dyDescent="0.3">
      <c r="A107">
        <v>2011</v>
      </c>
      <c r="B107" t="s">
        <v>229</v>
      </c>
      <c r="C107" t="s">
        <v>230</v>
      </c>
      <c r="D107" t="s">
        <v>22</v>
      </c>
      <c r="E107" t="s">
        <v>23</v>
      </c>
      <c r="F107">
        <v>4.3</v>
      </c>
      <c r="G107">
        <v>188136</v>
      </c>
      <c r="H107" t="s">
        <v>18</v>
      </c>
      <c r="I107">
        <v>7670.4</v>
      </c>
      <c r="J107">
        <v>4602.24</v>
      </c>
      <c r="K107">
        <v>7.99</v>
      </c>
      <c r="L107">
        <v>108</v>
      </c>
      <c r="M107" t="s">
        <v>33</v>
      </c>
      <c r="N107">
        <v>960</v>
      </c>
    </row>
    <row r="108" spans="1:14" x14ac:dyDescent="0.3">
      <c r="A108">
        <v>1950</v>
      </c>
      <c r="B108" t="s">
        <v>229</v>
      </c>
      <c r="C108" t="s">
        <v>231</v>
      </c>
      <c r="D108" t="s">
        <v>16</v>
      </c>
      <c r="E108" t="s">
        <v>23</v>
      </c>
      <c r="F108">
        <v>4.12</v>
      </c>
      <c r="G108">
        <v>143236</v>
      </c>
      <c r="H108" t="s">
        <v>18</v>
      </c>
      <c r="I108">
        <v>1880.55</v>
      </c>
      <c r="J108">
        <v>0</v>
      </c>
      <c r="K108">
        <v>1.99</v>
      </c>
      <c r="L108">
        <v>111</v>
      </c>
      <c r="M108" t="s">
        <v>26</v>
      </c>
      <c r="N108">
        <v>945</v>
      </c>
    </row>
    <row r="109" spans="1:14" x14ac:dyDescent="0.3">
      <c r="A109">
        <v>2010</v>
      </c>
      <c r="B109" t="s">
        <v>232</v>
      </c>
      <c r="C109" t="s">
        <v>233</v>
      </c>
      <c r="D109" t="s">
        <v>22</v>
      </c>
      <c r="E109" t="s">
        <v>23</v>
      </c>
      <c r="F109">
        <v>3.64</v>
      </c>
      <c r="G109">
        <v>120126</v>
      </c>
      <c r="H109" t="s">
        <v>18</v>
      </c>
      <c r="I109">
        <v>4690.6000000000004</v>
      </c>
      <c r="J109">
        <v>2814.36</v>
      </c>
      <c r="K109">
        <v>4.99</v>
      </c>
      <c r="L109">
        <v>112</v>
      </c>
      <c r="M109" t="s">
        <v>133</v>
      </c>
      <c r="N109">
        <v>940</v>
      </c>
    </row>
    <row r="110" spans="1:14" x14ac:dyDescent="0.3">
      <c r="A110">
        <v>1880</v>
      </c>
      <c r="B110" t="s">
        <v>234</v>
      </c>
      <c r="C110" t="s">
        <v>235</v>
      </c>
      <c r="D110" t="s">
        <v>22</v>
      </c>
      <c r="E110" t="s">
        <v>23</v>
      </c>
      <c r="F110">
        <v>3.97</v>
      </c>
      <c r="G110">
        <v>144497</v>
      </c>
      <c r="H110" t="s">
        <v>18</v>
      </c>
      <c r="I110">
        <v>3730.65</v>
      </c>
      <c r="J110">
        <v>2238.39</v>
      </c>
      <c r="K110">
        <v>3.99</v>
      </c>
      <c r="L110">
        <v>113</v>
      </c>
      <c r="M110" t="s">
        <v>33</v>
      </c>
      <c r="N110">
        <v>935</v>
      </c>
    </row>
    <row r="111" spans="1:14" x14ac:dyDescent="0.3">
      <c r="A111">
        <v>2002</v>
      </c>
      <c r="B111" t="s">
        <v>236</v>
      </c>
      <c r="C111" t="s">
        <v>113</v>
      </c>
      <c r="D111" t="s">
        <v>22</v>
      </c>
      <c r="E111" t="s">
        <v>23</v>
      </c>
      <c r="F111">
        <v>3.72</v>
      </c>
      <c r="G111">
        <v>131352</v>
      </c>
      <c r="H111" t="s">
        <v>18</v>
      </c>
      <c r="I111">
        <v>1850.7</v>
      </c>
      <c r="J111">
        <v>0</v>
      </c>
      <c r="K111">
        <v>1.99</v>
      </c>
      <c r="L111">
        <v>114</v>
      </c>
      <c r="M111" t="s">
        <v>26</v>
      </c>
      <c r="N111">
        <v>930</v>
      </c>
    </row>
    <row r="112" spans="1:14" x14ac:dyDescent="0.3">
      <c r="A112">
        <v>1956</v>
      </c>
      <c r="B112" t="s">
        <v>237</v>
      </c>
      <c r="C112" t="s">
        <v>49</v>
      </c>
      <c r="D112" t="s">
        <v>22</v>
      </c>
      <c r="E112" t="s">
        <v>23</v>
      </c>
      <c r="F112">
        <v>4.0199999999999996</v>
      </c>
      <c r="G112">
        <v>158701</v>
      </c>
      <c r="H112" t="s">
        <v>18</v>
      </c>
      <c r="I112">
        <v>5980</v>
      </c>
      <c r="J112">
        <v>3588</v>
      </c>
      <c r="K112">
        <v>6.5</v>
      </c>
      <c r="L112">
        <v>116</v>
      </c>
      <c r="M112" t="s">
        <v>26</v>
      </c>
      <c r="N112">
        <v>920</v>
      </c>
    </row>
    <row r="113" spans="1:14" x14ac:dyDescent="0.3">
      <c r="A113">
        <v>2007</v>
      </c>
      <c r="B113" t="s">
        <v>238</v>
      </c>
      <c r="C113" t="s">
        <v>239</v>
      </c>
      <c r="D113" t="s">
        <v>22</v>
      </c>
      <c r="E113" t="s">
        <v>23</v>
      </c>
      <c r="F113">
        <v>4.2300000000000004</v>
      </c>
      <c r="G113">
        <v>128715</v>
      </c>
      <c r="H113" t="s">
        <v>18</v>
      </c>
      <c r="I113">
        <v>905.85</v>
      </c>
      <c r="J113">
        <v>543.51</v>
      </c>
      <c r="K113">
        <v>0.99</v>
      </c>
      <c r="L113">
        <v>117</v>
      </c>
      <c r="M113" t="s">
        <v>45</v>
      </c>
      <c r="N113">
        <v>915</v>
      </c>
    </row>
    <row r="114" spans="1:14" x14ac:dyDescent="0.3">
      <c r="A114">
        <v>2008</v>
      </c>
      <c r="B114" t="s">
        <v>240</v>
      </c>
      <c r="C114" t="s">
        <v>241</v>
      </c>
      <c r="D114" t="s">
        <v>16</v>
      </c>
      <c r="E114" t="s">
        <v>23</v>
      </c>
      <c r="F114">
        <v>3.9</v>
      </c>
      <c r="G114">
        <v>180961</v>
      </c>
      <c r="H114" t="s">
        <v>29</v>
      </c>
      <c r="I114">
        <v>7759.2</v>
      </c>
      <c r="J114">
        <v>4655.5200000000004</v>
      </c>
      <c r="K114">
        <v>8.48</v>
      </c>
      <c r="L114">
        <v>117</v>
      </c>
      <c r="M114" t="s">
        <v>26</v>
      </c>
      <c r="N114">
        <v>915</v>
      </c>
    </row>
    <row r="115" spans="1:14" x14ac:dyDescent="0.3">
      <c r="A115">
        <v>2012</v>
      </c>
      <c r="B115" t="s">
        <v>242</v>
      </c>
      <c r="C115" t="s">
        <v>42</v>
      </c>
      <c r="D115" t="s">
        <v>22</v>
      </c>
      <c r="E115" t="s">
        <v>23</v>
      </c>
      <c r="F115">
        <v>4.29</v>
      </c>
      <c r="G115">
        <v>153882</v>
      </c>
      <c r="H115" t="s">
        <v>18</v>
      </c>
      <c r="I115">
        <v>900.9</v>
      </c>
      <c r="J115">
        <v>0</v>
      </c>
      <c r="K115">
        <v>0.99</v>
      </c>
      <c r="L115">
        <v>118</v>
      </c>
      <c r="M115" t="s">
        <v>26</v>
      </c>
      <c r="N115">
        <v>910</v>
      </c>
    </row>
    <row r="116" spans="1:14" x14ac:dyDescent="0.3">
      <c r="A116">
        <v>2007</v>
      </c>
      <c r="B116" t="s">
        <v>243</v>
      </c>
      <c r="C116" t="s">
        <v>244</v>
      </c>
      <c r="D116" t="s">
        <v>22</v>
      </c>
      <c r="E116" t="s">
        <v>23</v>
      </c>
      <c r="F116">
        <v>3.84</v>
      </c>
      <c r="G116">
        <v>150003</v>
      </c>
      <c r="H116" t="s">
        <v>18</v>
      </c>
      <c r="I116">
        <v>895.95</v>
      </c>
      <c r="J116">
        <v>537.57000000000005</v>
      </c>
      <c r="K116">
        <v>0.99</v>
      </c>
      <c r="L116">
        <v>119</v>
      </c>
      <c r="M116" t="s">
        <v>26</v>
      </c>
      <c r="N116">
        <v>905</v>
      </c>
    </row>
    <row r="117" spans="1:14" x14ac:dyDescent="0.3">
      <c r="A117">
        <v>1390</v>
      </c>
      <c r="B117" t="s">
        <v>245</v>
      </c>
      <c r="C117" t="s">
        <v>246</v>
      </c>
      <c r="D117" t="s">
        <v>22</v>
      </c>
      <c r="E117" t="s">
        <v>17</v>
      </c>
      <c r="F117">
        <v>3.48</v>
      </c>
      <c r="G117">
        <v>148480</v>
      </c>
      <c r="H117" t="s">
        <v>18</v>
      </c>
      <c r="I117">
        <v>891</v>
      </c>
      <c r="J117">
        <v>0</v>
      </c>
      <c r="K117">
        <v>0.99</v>
      </c>
      <c r="L117">
        <v>120</v>
      </c>
      <c r="M117" t="s">
        <v>26</v>
      </c>
      <c r="N117">
        <v>900</v>
      </c>
    </row>
    <row r="118" spans="1:14" x14ac:dyDescent="0.3">
      <c r="A118">
        <v>2006</v>
      </c>
      <c r="B118" t="s">
        <v>247</v>
      </c>
      <c r="C118" t="s">
        <v>248</v>
      </c>
      <c r="D118" t="s">
        <v>16</v>
      </c>
      <c r="E118" t="s">
        <v>23</v>
      </c>
      <c r="F118">
        <v>3.71</v>
      </c>
      <c r="G118">
        <v>124371</v>
      </c>
      <c r="H118" t="s">
        <v>40</v>
      </c>
      <c r="I118">
        <v>5841</v>
      </c>
      <c r="J118">
        <v>3504.6</v>
      </c>
      <c r="K118">
        <v>6.49</v>
      </c>
      <c r="L118">
        <v>120</v>
      </c>
      <c r="M118" t="s">
        <v>133</v>
      </c>
      <c r="N118">
        <v>900</v>
      </c>
    </row>
    <row r="119" spans="1:14" x14ac:dyDescent="0.3">
      <c r="A119">
        <v>2011</v>
      </c>
      <c r="B119" t="s">
        <v>249</v>
      </c>
      <c r="C119" t="s">
        <v>250</v>
      </c>
      <c r="D119" t="s">
        <v>16</v>
      </c>
      <c r="E119" t="s">
        <v>23</v>
      </c>
      <c r="F119">
        <v>4.08</v>
      </c>
      <c r="G119">
        <v>146905</v>
      </c>
      <c r="H119" t="s">
        <v>40</v>
      </c>
      <c r="I119">
        <v>10731.05</v>
      </c>
      <c r="J119">
        <v>6438.63</v>
      </c>
      <c r="K119">
        <v>11.99</v>
      </c>
      <c r="L119">
        <v>121</v>
      </c>
      <c r="M119" t="s">
        <v>45</v>
      </c>
      <c r="N119">
        <v>895</v>
      </c>
    </row>
    <row r="120" spans="1:14" x14ac:dyDescent="0.3">
      <c r="A120">
        <v>2009</v>
      </c>
      <c r="B120" t="s">
        <v>251</v>
      </c>
      <c r="C120" t="s">
        <v>252</v>
      </c>
      <c r="D120" t="s">
        <v>22</v>
      </c>
      <c r="E120" t="s">
        <v>23</v>
      </c>
      <c r="F120">
        <v>3.89</v>
      </c>
      <c r="G120">
        <v>125195</v>
      </c>
      <c r="H120" t="s">
        <v>18</v>
      </c>
      <c r="I120">
        <v>2661.1</v>
      </c>
      <c r="J120">
        <v>0</v>
      </c>
      <c r="K120">
        <v>2.99</v>
      </c>
      <c r="L120">
        <v>122</v>
      </c>
      <c r="M120" t="s">
        <v>26</v>
      </c>
      <c r="N120">
        <v>890</v>
      </c>
    </row>
    <row r="121" spans="1:14" x14ac:dyDescent="0.3">
      <c r="A121">
        <v>1852</v>
      </c>
      <c r="B121" t="s">
        <v>253</v>
      </c>
      <c r="C121" t="s">
        <v>254</v>
      </c>
      <c r="D121" t="s">
        <v>22</v>
      </c>
      <c r="E121" t="s">
        <v>23</v>
      </c>
      <c r="F121">
        <v>3.83</v>
      </c>
      <c r="G121">
        <v>137858</v>
      </c>
      <c r="H121" t="s">
        <v>29</v>
      </c>
      <c r="I121">
        <v>1771.1</v>
      </c>
      <c r="J121">
        <v>1062.6600000000001</v>
      </c>
      <c r="K121">
        <v>1.99</v>
      </c>
      <c r="L121">
        <v>122</v>
      </c>
      <c r="M121" t="s">
        <v>19</v>
      </c>
      <c r="N121">
        <v>890</v>
      </c>
    </row>
    <row r="122" spans="1:14" x14ac:dyDescent="0.3">
      <c r="A122">
        <v>1909</v>
      </c>
      <c r="B122" t="s">
        <v>255</v>
      </c>
      <c r="C122" t="s">
        <v>256</v>
      </c>
      <c r="D122" t="s">
        <v>22</v>
      </c>
      <c r="E122" t="s">
        <v>23</v>
      </c>
      <c r="F122">
        <v>3.97</v>
      </c>
      <c r="G122">
        <v>141110</v>
      </c>
      <c r="H122" t="s">
        <v>18</v>
      </c>
      <c r="I122">
        <v>3531.15</v>
      </c>
      <c r="J122">
        <v>0</v>
      </c>
      <c r="K122">
        <v>3.99</v>
      </c>
      <c r="L122">
        <v>123</v>
      </c>
      <c r="M122" t="s">
        <v>26</v>
      </c>
      <c r="N122">
        <v>885</v>
      </c>
    </row>
    <row r="123" spans="1:14" x14ac:dyDescent="0.3">
      <c r="A123">
        <v>2006</v>
      </c>
      <c r="B123" t="s">
        <v>257</v>
      </c>
      <c r="C123" t="s">
        <v>82</v>
      </c>
      <c r="D123" t="s">
        <v>16</v>
      </c>
      <c r="E123" t="s">
        <v>23</v>
      </c>
      <c r="F123">
        <v>4.0199999999999996</v>
      </c>
      <c r="G123">
        <v>163054</v>
      </c>
      <c r="H123" t="s">
        <v>18</v>
      </c>
      <c r="I123">
        <v>6525</v>
      </c>
      <c r="J123">
        <v>3915</v>
      </c>
      <c r="K123">
        <v>7.5</v>
      </c>
      <c r="L123">
        <v>126</v>
      </c>
      <c r="M123" t="s">
        <v>65</v>
      </c>
      <c r="N123">
        <v>870</v>
      </c>
    </row>
    <row r="124" spans="1:14" x14ac:dyDescent="0.3">
      <c r="A124">
        <v>1995</v>
      </c>
      <c r="B124" t="s">
        <v>258</v>
      </c>
      <c r="C124" t="s">
        <v>259</v>
      </c>
      <c r="D124" t="s">
        <v>16</v>
      </c>
      <c r="E124" t="s">
        <v>23</v>
      </c>
      <c r="F124">
        <v>4.08</v>
      </c>
      <c r="G124">
        <v>98738</v>
      </c>
      <c r="H124" t="s">
        <v>18</v>
      </c>
      <c r="I124">
        <v>3451.35</v>
      </c>
      <c r="J124">
        <v>0</v>
      </c>
      <c r="K124">
        <v>3.99</v>
      </c>
      <c r="L124">
        <v>127</v>
      </c>
      <c r="M124" t="s">
        <v>26</v>
      </c>
      <c r="N124">
        <v>865</v>
      </c>
    </row>
    <row r="125" spans="1:14" x14ac:dyDescent="0.3">
      <c r="A125">
        <v>2010</v>
      </c>
      <c r="B125" t="s">
        <v>260</v>
      </c>
      <c r="C125" t="s">
        <v>261</v>
      </c>
      <c r="D125" t="s">
        <v>16</v>
      </c>
      <c r="E125" t="s">
        <v>23</v>
      </c>
      <c r="F125">
        <v>3.73</v>
      </c>
      <c r="G125">
        <v>119213</v>
      </c>
      <c r="H125" t="s">
        <v>18</v>
      </c>
      <c r="I125">
        <v>6871.4</v>
      </c>
      <c r="J125">
        <v>4122.84</v>
      </c>
      <c r="K125">
        <v>7.99</v>
      </c>
      <c r="L125">
        <v>128</v>
      </c>
      <c r="M125" t="s">
        <v>45</v>
      </c>
      <c r="N125">
        <v>860</v>
      </c>
    </row>
    <row r="126" spans="1:14" x14ac:dyDescent="0.3">
      <c r="A126">
        <v>2011</v>
      </c>
      <c r="B126" t="s">
        <v>262</v>
      </c>
      <c r="C126" t="s">
        <v>263</v>
      </c>
      <c r="D126" t="s">
        <v>22</v>
      </c>
      <c r="E126" t="s">
        <v>23</v>
      </c>
      <c r="F126">
        <v>3.52</v>
      </c>
      <c r="G126">
        <v>100886</v>
      </c>
      <c r="H126" t="s">
        <v>18</v>
      </c>
      <c r="I126">
        <v>841.5</v>
      </c>
      <c r="J126">
        <v>504.9</v>
      </c>
      <c r="K126">
        <v>0.99</v>
      </c>
      <c r="L126">
        <v>130</v>
      </c>
      <c r="M126" t="s">
        <v>26</v>
      </c>
      <c r="N126">
        <v>850</v>
      </c>
    </row>
    <row r="127" spans="1:14" x14ac:dyDescent="0.3">
      <c r="A127">
        <v>2006</v>
      </c>
      <c r="B127" t="s">
        <v>264</v>
      </c>
      <c r="C127" t="s">
        <v>265</v>
      </c>
      <c r="D127" t="s">
        <v>16</v>
      </c>
      <c r="E127" t="s">
        <v>23</v>
      </c>
      <c r="F127">
        <v>3.82</v>
      </c>
      <c r="G127">
        <v>150222</v>
      </c>
      <c r="H127" t="s">
        <v>18</v>
      </c>
      <c r="I127">
        <v>10131.549999999999</v>
      </c>
      <c r="J127">
        <v>6078.93</v>
      </c>
      <c r="K127">
        <v>11.99</v>
      </c>
      <c r="L127">
        <v>131</v>
      </c>
      <c r="M127" t="s">
        <v>30</v>
      </c>
      <c r="N127">
        <v>845</v>
      </c>
    </row>
    <row r="128" spans="1:14" x14ac:dyDescent="0.3">
      <c r="A128">
        <v>2008</v>
      </c>
      <c r="B128" t="s">
        <v>266</v>
      </c>
      <c r="C128" t="s">
        <v>267</v>
      </c>
      <c r="D128" t="s">
        <v>22</v>
      </c>
      <c r="E128" t="s">
        <v>23</v>
      </c>
      <c r="F128">
        <v>3.71</v>
      </c>
      <c r="G128">
        <v>114531</v>
      </c>
      <c r="H128" t="s">
        <v>18</v>
      </c>
      <c r="I128">
        <v>6711.6</v>
      </c>
      <c r="J128">
        <v>4026.96</v>
      </c>
      <c r="K128">
        <v>7.99</v>
      </c>
      <c r="L128">
        <v>132</v>
      </c>
      <c r="M128" t="s">
        <v>45</v>
      </c>
      <c r="N128">
        <v>840</v>
      </c>
    </row>
    <row r="129" spans="1:14" x14ac:dyDescent="0.3">
      <c r="A129">
        <v>2001</v>
      </c>
      <c r="B129" t="s">
        <v>268</v>
      </c>
      <c r="C129" t="s">
        <v>261</v>
      </c>
      <c r="D129" t="s">
        <v>22</v>
      </c>
      <c r="E129" t="s">
        <v>23</v>
      </c>
      <c r="F129">
        <v>3.78</v>
      </c>
      <c r="G129">
        <v>117657</v>
      </c>
      <c r="H129" t="s">
        <v>18</v>
      </c>
      <c r="I129">
        <v>816.75</v>
      </c>
      <c r="J129">
        <v>0</v>
      </c>
      <c r="K129">
        <v>0.99</v>
      </c>
      <c r="L129">
        <v>135</v>
      </c>
      <c r="M129" t="s">
        <v>26</v>
      </c>
      <c r="N129">
        <v>825</v>
      </c>
    </row>
    <row r="130" spans="1:14" x14ac:dyDescent="0.3">
      <c r="A130">
        <v>1995</v>
      </c>
      <c r="B130" t="s">
        <v>269</v>
      </c>
      <c r="C130" t="s">
        <v>270</v>
      </c>
      <c r="D130" t="s">
        <v>22</v>
      </c>
      <c r="E130" t="s">
        <v>23</v>
      </c>
      <c r="F130">
        <v>3.81</v>
      </c>
      <c r="G130">
        <v>128961</v>
      </c>
      <c r="H130" t="s">
        <v>40</v>
      </c>
      <c r="I130">
        <v>1641.75</v>
      </c>
      <c r="J130">
        <v>985.05</v>
      </c>
      <c r="K130">
        <v>1.99</v>
      </c>
      <c r="L130">
        <v>135</v>
      </c>
      <c r="M130" t="s">
        <v>19</v>
      </c>
      <c r="N130">
        <v>825</v>
      </c>
    </row>
    <row r="131" spans="1:14" x14ac:dyDescent="0.3">
      <c r="A131">
        <v>1980</v>
      </c>
      <c r="B131" t="s">
        <v>271</v>
      </c>
      <c r="C131" t="s">
        <v>113</v>
      </c>
      <c r="D131" t="s">
        <v>22</v>
      </c>
      <c r="E131" t="s">
        <v>23</v>
      </c>
      <c r="F131">
        <v>3.55</v>
      </c>
      <c r="G131">
        <v>129811</v>
      </c>
      <c r="H131" t="s">
        <v>40</v>
      </c>
      <c r="I131">
        <v>5696.85</v>
      </c>
      <c r="J131">
        <v>3418.11</v>
      </c>
      <c r="K131">
        <v>6.99</v>
      </c>
      <c r="L131">
        <v>137</v>
      </c>
      <c r="M131" t="s">
        <v>45</v>
      </c>
      <c r="N131">
        <v>815</v>
      </c>
    </row>
    <row r="132" spans="1:14" x14ac:dyDescent="0.3">
      <c r="A132">
        <v>1972</v>
      </c>
      <c r="B132" t="s">
        <v>272</v>
      </c>
      <c r="C132" t="s">
        <v>273</v>
      </c>
      <c r="D132" t="s">
        <v>144</v>
      </c>
      <c r="E132" t="s">
        <v>23</v>
      </c>
      <c r="F132">
        <v>4.22</v>
      </c>
      <c r="G132">
        <v>146073</v>
      </c>
      <c r="H132" t="s">
        <v>18</v>
      </c>
      <c r="I132">
        <v>2421.9</v>
      </c>
      <c r="J132">
        <v>0</v>
      </c>
      <c r="K132">
        <v>2.99</v>
      </c>
      <c r="L132">
        <v>138</v>
      </c>
      <c r="M132" t="s">
        <v>26</v>
      </c>
      <c r="N132">
        <v>810</v>
      </c>
    </row>
    <row r="133" spans="1:14" x14ac:dyDescent="0.3">
      <c r="A133">
        <v>1999</v>
      </c>
      <c r="B133" t="s">
        <v>274</v>
      </c>
      <c r="C133" t="s">
        <v>275</v>
      </c>
      <c r="D133" t="s">
        <v>22</v>
      </c>
      <c r="E133" t="s">
        <v>23</v>
      </c>
      <c r="F133">
        <v>4.12</v>
      </c>
      <c r="G133">
        <v>110651</v>
      </c>
      <c r="H133" t="s">
        <v>18</v>
      </c>
      <c r="I133">
        <v>8573.25</v>
      </c>
      <c r="J133">
        <v>5143.95</v>
      </c>
      <c r="K133">
        <v>10.65</v>
      </c>
      <c r="L133">
        <v>139</v>
      </c>
      <c r="M133" t="s">
        <v>33</v>
      </c>
      <c r="N133">
        <v>805</v>
      </c>
    </row>
    <row r="134" spans="1:14" x14ac:dyDescent="0.3">
      <c r="A134">
        <v>1980</v>
      </c>
      <c r="B134" t="s">
        <v>276</v>
      </c>
      <c r="C134" t="s">
        <v>277</v>
      </c>
      <c r="D134" t="s">
        <v>22</v>
      </c>
      <c r="E134" t="s">
        <v>23</v>
      </c>
      <c r="F134">
        <v>4.07</v>
      </c>
      <c r="G134">
        <v>137372</v>
      </c>
      <c r="H134" t="s">
        <v>18</v>
      </c>
      <c r="I134">
        <v>3192</v>
      </c>
      <c r="J134">
        <v>0</v>
      </c>
      <c r="K134">
        <v>3.99</v>
      </c>
      <c r="L134">
        <v>140</v>
      </c>
      <c r="M134" t="s">
        <v>26</v>
      </c>
      <c r="N134">
        <v>800</v>
      </c>
    </row>
    <row r="135" spans="1:14" x14ac:dyDescent="0.3">
      <c r="A135">
        <v>1958</v>
      </c>
      <c r="B135" t="s">
        <v>278</v>
      </c>
      <c r="C135" t="s">
        <v>279</v>
      </c>
      <c r="D135" t="s">
        <v>22</v>
      </c>
      <c r="E135" t="s">
        <v>23</v>
      </c>
      <c r="F135">
        <v>3.89</v>
      </c>
      <c r="G135">
        <v>129778</v>
      </c>
      <c r="H135" t="s">
        <v>18</v>
      </c>
      <c r="I135">
        <v>792</v>
      </c>
      <c r="J135">
        <v>475.2</v>
      </c>
      <c r="K135">
        <v>0.99</v>
      </c>
      <c r="L135">
        <v>140</v>
      </c>
      <c r="M135" t="s">
        <v>26</v>
      </c>
      <c r="N135">
        <v>800</v>
      </c>
    </row>
    <row r="136" spans="1:14" x14ac:dyDescent="0.3">
      <c r="A136">
        <v>2010</v>
      </c>
      <c r="B136" t="s">
        <v>280</v>
      </c>
      <c r="C136" t="s">
        <v>281</v>
      </c>
      <c r="D136" t="s">
        <v>22</v>
      </c>
      <c r="E136" t="s">
        <v>23</v>
      </c>
      <c r="F136">
        <v>4.04</v>
      </c>
      <c r="G136">
        <v>126993</v>
      </c>
      <c r="H136" t="s">
        <v>18</v>
      </c>
      <c r="I136">
        <v>3172.05</v>
      </c>
      <c r="J136">
        <v>0</v>
      </c>
      <c r="K136">
        <v>3.99</v>
      </c>
      <c r="L136">
        <v>141</v>
      </c>
      <c r="M136" t="s">
        <v>26</v>
      </c>
      <c r="N136">
        <v>795</v>
      </c>
    </row>
    <row r="137" spans="1:14" x14ac:dyDescent="0.3">
      <c r="A137">
        <v>2005</v>
      </c>
      <c r="B137" t="s">
        <v>282</v>
      </c>
      <c r="C137" t="s">
        <v>283</v>
      </c>
      <c r="D137" t="s">
        <v>22</v>
      </c>
      <c r="E137" t="s">
        <v>23</v>
      </c>
      <c r="F137">
        <v>4</v>
      </c>
      <c r="G137">
        <v>137639</v>
      </c>
      <c r="H137" t="s">
        <v>40</v>
      </c>
      <c r="I137">
        <v>1572.1</v>
      </c>
      <c r="J137">
        <v>943.26</v>
      </c>
      <c r="K137">
        <v>1.99</v>
      </c>
      <c r="L137">
        <v>142</v>
      </c>
      <c r="M137" t="s">
        <v>26</v>
      </c>
      <c r="N137">
        <v>790</v>
      </c>
    </row>
    <row r="138" spans="1:14" x14ac:dyDescent="0.3">
      <c r="A138">
        <v>2009</v>
      </c>
      <c r="B138" t="s">
        <v>284</v>
      </c>
      <c r="C138" t="s">
        <v>47</v>
      </c>
      <c r="D138" t="s">
        <v>22</v>
      </c>
      <c r="E138" t="s">
        <v>23</v>
      </c>
      <c r="F138">
        <v>4.08</v>
      </c>
      <c r="G138">
        <v>151721</v>
      </c>
      <c r="H138" t="s">
        <v>18</v>
      </c>
      <c r="I138">
        <v>9412.15</v>
      </c>
      <c r="J138">
        <v>5647.29</v>
      </c>
      <c r="K138">
        <v>11.99</v>
      </c>
      <c r="L138">
        <v>143</v>
      </c>
      <c r="M138" t="s">
        <v>33</v>
      </c>
      <c r="N138">
        <v>785</v>
      </c>
    </row>
    <row r="139" spans="1:14" x14ac:dyDescent="0.3">
      <c r="A139">
        <v>2014</v>
      </c>
      <c r="B139" t="s">
        <v>285</v>
      </c>
      <c r="C139" t="s">
        <v>286</v>
      </c>
      <c r="D139" t="s">
        <v>22</v>
      </c>
      <c r="E139" t="s">
        <v>23</v>
      </c>
      <c r="F139">
        <v>3.78</v>
      </c>
      <c r="G139">
        <v>108703</v>
      </c>
      <c r="H139" t="s">
        <v>18</v>
      </c>
      <c r="I139">
        <v>3112.2</v>
      </c>
      <c r="J139">
        <v>0</v>
      </c>
      <c r="K139">
        <v>3.99</v>
      </c>
      <c r="L139">
        <v>144</v>
      </c>
      <c r="M139" t="s">
        <v>26</v>
      </c>
      <c r="N139">
        <v>780</v>
      </c>
    </row>
    <row r="140" spans="1:14" x14ac:dyDescent="0.3">
      <c r="A140">
        <v>1982</v>
      </c>
      <c r="B140" t="s">
        <v>287</v>
      </c>
      <c r="C140" t="s">
        <v>288</v>
      </c>
      <c r="D140" t="s">
        <v>16</v>
      </c>
      <c r="E140" t="s">
        <v>23</v>
      </c>
      <c r="F140">
        <v>4.2</v>
      </c>
      <c r="G140">
        <v>119930</v>
      </c>
      <c r="H140" t="s">
        <v>18</v>
      </c>
      <c r="I140">
        <v>8269.25</v>
      </c>
      <c r="J140">
        <v>4961.55</v>
      </c>
      <c r="K140">
        <v>10.67</v>
      </c>
      <c r="L140">
        <v>145</v>
      </c>
      <c r="M140" t="s">
        <v>65</v>
      </c>
      <c r="N140">
        <v>775</v>
      </c>
    </row>
    <row r="141" spans="1:14" x14ac:dyDescent="0.3">
      <c r="A141">
        <v>1979</v>
      </c>
      <c r="B141" t="s">
        <v>289</v>
      </c>
      <c r="C141" t="s">
        <v>73</v>
      </c>
      <c r="D141" t="s">
        <v>16</v>
      </c>
      <c r="E141" t="s">
        <v>23</v>
      </c>
      <c r="F141">
        <v>3.9</v>
      </c>
      <c r="G141">
        <v>132723</v>
      </c>
      <c r="H141" t="s">
        <v>18</v>
      </c>
      <c r="I141">
        <v>1512.4</v>
      </c>
      <c r="J141">
        <v>907.44</v>
      </c>
      <c r="K141">
        <v>1.99</v>
      </c>
      <c r="L141">
        <v>148</v>
      </c>
      <c r="M141" t="s">
        <v>19</v>
      </c>
      <c r="N141">
        <v>760</v>
      </c>
    </row>
    <row r="142" spans="1:14" x14ac:dyDescent="0.3">
      <c r="A142">
        <v>1920</v>
      </c>
      <c r="B142" t="s">
        <v>290</v>
      </c>
      <c r="C142" t="s">
        <v>291</v>
      </c>
      <c r="D142" t="s">
        <v>22</v>
      </c>
      <c r="E142" t="s">
        <v>23</v>
      </c>
      <c r="F142">
        <v>3.98</v>
      </c>
      <c r="G142">
        <v>135514</v>
      </c>
      <c r="H142" t="s">
        <v>18</v>
      </c>
      <c r="I142">
        <v>3012.45</v>
      </c>
      <c r="J142">
        <v>0</v>
      </c>
      <c r="K142">
        <v>3.99</v>
      </c>
      <c r="L142">
        <v>149</v>
      </c>
      <c r="M142" t="s">
        <v>26</v>
      </c>
      <c r="N142">
        <v>755</v>
      </c>
    </row>
    <row r="143" spans="1:14" x14ac:dyDescent="0.3">
      <c r="A143">
        <v>1934</v>
      </c>
      <c r="B143" t="s">
        <v>292</v>
      </c>
      <c r="C143" t="s">
        <v>293</v>
      </c>
      <c r="D143" t="s">
        <v>22</v>
      </c>
      <c r="E143" t="s">
        <v>23</v>
      </c>
      <c r="F143">
        <v>4.16</v>
      </c>
      <c r="G143">
        <v>138444</v>
      </c>
      <c r="H143" t="s">
        <v>18</v>
      </c>
      <c r="I143">
        <v>3742.5</v>
      </c>
      <c r="J143">
        <v>0</v>
      </c>
      <c r="K143">
        <v>4.99</v>
      </c>
      <c r="L143">
        <v>150</v>
      </c>
      <c r="M143" t="s">
        <v>26</v>
      </c>
      <c r="N143">
        <v>750</v>
      </c>
    </row>
    <row r="144" spans="1:14" x14ac:dyDescent="0.3">
      <c r="A144">
        <v>2013</v>
      </c>
      <c r="B144" t="s">
        <v>294</v>
      </c>
      <c r="C144" t="s">
        <v>295</v>
      </c>
      <c r="D144" t="s">
        <v>22</v>
      </c>
      <c r="E144" t="s">
        <v>23</v>
      </c>
      <c r="F144">
        <v>4.26</v>
      </c>
      <c r="G144">
        <v>113252</v>
      </c>
      <c r="H144" t="s">
        <v>18</v>
      </c>
      <c r="I144">
        <v>2992.5</v>
      </c>
      <c r="J144">
        <v>0</v>
      </c>
      <c r="K144">
        <v>3.99</v>
      </c>
      <c r="L144">
        <v>150</v>
      </c>
      <c r="M144" t="s">
        <v>26</v>
      </c>
      <c r="N144">
        <v>750</v>
      </c>
    </row>
    <row r="145" spans="1:14" x14ac:dyDescent="0.3">
      <c r="A145">
        <v>2001</v>
      </c>
      <c r="B145" t="s">
        <v>296</v>
      </c>
      <c r="C145" t="s">
        <v>102</v>
      </c>
      <c r="D145" t="s">
        <v>22</v>
      </c>
      <c r="E145" t="s">
        <v>23</v>
      </c>
      <c r="F145">
        <v>4.16</v>
      </c>
      <c r="G145">
        <v>121398</v>
      </c>
      <c r="H145" t="s">
        <v>18</v>
      </c>
      <c r="I145">
        <v>3717.55</v>
      </c>
      <c r="J145">
        <v>2230.5300000000002</v>
      </c>
      <c r="K145">
        <v>4.99</v>
      </c>
      <c r="L145">
        <v>151</v>
      </c>
      <c r="M145" t="s">
        <v>45</v>
      </c>
      <c r="N145">
        <v>745</v>
      </c>
    </row>
    <row r="146" spans="1:14" x14ac:dyDescent="0.3">
      <c r="A146">
        <v>1980</v>
      </c>
      <c r="B146" t="s">
        <v>297</v>
      </c>
      <c r="C146" t="s">
        <v>73</v>
      </c>
      <c r="D146" t="s">
        <v>22</v>
      </c>
      <c r="E146" t="s">
        <v>23</v>
      </c>
      <c r="F146">
        <v>3.85</v>
      </c>
      <c r="G146">
        <v>142213</v>
      </c>
      <c r="H146" t="s">
        <v>18</v>
      </c>
      <c r="I146">
        <v>2952.6</v>
      </c>
      <c r="J146">
        <v>1771.56</v>
      </c>
      <c r="K146">
        <v>3.99</v>
      </c>
      <c r="L146">
        <v>152</v>
      </c>
      <c r="M146" t="s">
        <v>133</v>
      </c>
      <c r="N146">
        <v>740</v>
      </c>
    </row>
    <row r="147" spans="1:14" x14ac:dyDescent="0.3">
      <c r="A147">
        <v>2013</v>
      </c>
      <c r="B147" t="s">
        <v>298</v>
      </c>
      <c r="C147" t="s">
        <v>299</v>
      </c>
      <c r="D147" t="s">
        <v>22</v>
      </c>
      <c r="E147" t="s">
        <v>23</v>
      </c>
      <c r="F147">
        <v>4.1900000000000004</v>
      </c>
      <c r="G147">
        <v>141641</v>
      </c>
      <c r="H147" t="s">
        <v>18</v>
      </c>
      <c r="I147">
        <v>727.65</v>
      </c>
      <c r="J147">
        <v>0</v>
      </c>
      <c r="K147">
        <v>0.99</v>
      </c>
      <c r="L147">
        <v>153</v>
      </c>
      <c r="M147" t="s">
        <v>26</v>
      </c>
      <c r="N147">
        <v>735</v>
      </c>
    </row>
    <row r="148" spans="1:14" x14ac:dyDescent="0.3">
      <c r="A148">
        <v>2009</v>
      </c>
      <c r="B148" t="s">
        <v>300</v>
      </c>
      <c r="C148" t="s">
        <v>301</v>
      </c>
      <c r="D148" t="s">
        <v>22</v>
      </c>
      <c r="E148" t="s">
        <v>23</v>
      </c>
      <c r="F148">
        <v>4.2699999999999996</v>
      </c>
      <c r="G148">
        <v>109642</v>
      </c>
      <c r="H148" t="s">
        <v>18</v>
      </c>
      <c r="I148">
        <v>3642.7</v>
      </c>
      <c r="J148">
        <v>0</v>
      </c>
      <c r="K148">
        <v>4.99</v>
      </c>
      <c r="L148">
        <v>154</v>
      </c>
      <c r="M148" t="s">
        <v>26</v>
      </c>
      <c r="N148">
        <v>730</v>
      </c>
    </row>
    <row r="149" spans="1:14" x14ac:dyDescent="0.3">
      <c r="A149">
        <v>2014</v>
      </c>
      <c r="B149" t="s">
        <v>302</v>
      </c>
      <c r="C149" t="s">
        <v>303</v>
      </c>
      <c r="D149" t="s">
        <v>22</v>
      </c>
      <c r="E149" t="s">
        <v>23</v>
      </c>
      <c r="F149">
        <v>3.98</v>
      </c>
      <c r="G149">
        <v>115393</v>
      </c>
      <c r="H149" t="s">
        <v>18</v>
      </c>
      <c r="I149">
        <v>5444.75</v>
      </c>
      <c r="J149">
        <v>3266.85</v>
      </c>
      <c r="K149">
        <v>7.51</v>
      </c>
      <c r="L149">
        <v>155</v>
      </c>
      <c r="M149" t="s">
        <v>45</v>
      </c>
      <c r="N149">
        <v>725</v>
      </c>
    </row>
    <row r="150" spans="1:14" x14ac:dyDescent="0.3">
      <c r="A150">
        <v>1939</v>
      </c>
      <c r="B150" t="s">
        <v>304</v>
      </c>
      <c r="C150" t="s">
        <v>305</v>
      </c>
      <c r="D150" t="s">
        <v>92</v>
      </c>
      <c r="E150" t="s">
        <v>23</v>
      </c>
      <c r="F150">
        <v>4.22</v>
      </c>
      <c r="G150">
        <v>156726</v>
      </c>
      <c r="H150" t="s">
        <v>18</v>
      </c>
      <c r="I150">
        <v>712.8</v>
      </c>
      <c r="J150">
        <v>0</v>
      </c>
      <c r="K150">
        <v>0.99</v>
      </c>
      <c r="L150">
        <v>156</v>
      </c>
      <c r="M150" t="s">
        <v>26</v>
      </c>
      <c r="N150">
        <v>720</v>
      </c>
    </row>
    <row r="151" spans="1:14" x14ac:dyDescent="0.3">
      <c r="A151">
        <v>1937</v>
      </c>
      <c r="B151" t="s">
        <v>306</v>
      </c>
      <c r="C151" t="s">
        <v>307</v>
      </c>
      <c r="D151" t="s">
        <v>22</v>
      </c>
      <c r="E151" t="s">
        <v>23</v>
      </c>
      <c r="F151">
        <v>4.17</v>
      </c>
      <c r="G151">
        <v>87445</v>
      </c>
      <c r="H151" t="s">
        <v>18</v>
      </c>
      <c r="I151">
        <v>702.9</v>
      </c>
      <c r="J151">
        <v>0</v>
      </c>
      <c r="K151">
        <v>0.99</v>
      </c>
      <c r="L151">
        <v>158</v>
      </c>
      <c r="M151" t="s">
        <v>26</v>
      </c>
      <c r="N151">
        <v>710</v>
      </c>
    </row>
    <row r="152" spans="1:14" x14ac:dyDescent="0.3">
      <c r="A152">
        <v>1932</v>
      </c>
      <c r="B152" t="s">
        <v>308</v>
      </c>
      <c r="C152" t="s">
        <v>54</v>
      </c>
      <c r="D152" t="s">
        <v>22</v>
      </c>
      <c r="E152" t="s">
        <v>23</v>
      </c>
      <c r="F152">
        <v>4.16</v>
      </c>
      <c r="G152">
        <v>165127</v>
      </c>
      <c r="H152" t="s">
        <v>18</v>
      </c>
      <c r="I152">
        <v>697.95</v>
      </c>
      <c r="J152">
        <v>418.77</v>
      </c>
      <c r="K152">
        <v>0.99</v>
      </c>
      <c r="L152">
        <v>159</v>
      </c>
      <c r="M152" t="s">
        <v>26</v>
      </c>
      <c r="N152">
        <v>705</v>
      </c>
    </row>
    <row r="153" spans="1:14" x14ac:dyDescent="0.3">
      <c r="A153">
        <v>2004</v>
      </c>
      <c r="B153" t="s">
        <v>309</v>
      </c>
      <c r="C153" t="s">
        <v>310</v>
      </c>
      <c r="D153" t="s">
        <v>22</v>
      </c>
      <c r="E153" t="s">
        <v>23</v>
      </c>
      <c r="F153">
        <v>3.8</v>
      </c>
      <c r="G153">
        <v>133683</v>
      </c>
      <c r="H153" t="s">
        <v>18</v>
      </c>
      <c r="I153">
        <v>5593</v>
      </c>
      <c r="J153">
        <v>3355.8</v>
      </c>
      <c r="K153">
        <v>7.99</v>
      </c>
      <c r="L153">
        <v>160</v>
      </c>
      <c r="M153" t="s">
        <v>30</v>
      </c>
      <c r="N153">
        <v>700</v>
      </c>
    </row>
    <row r="154" spans="1:14" x14ac:dyDescent="0.3">
      <c r="A154">
        <v>2001</v>
      </c>
      <c r="B154" t="s">
        <v>311</v>
      </c>
      <c r="C154" t="s">
        <v>71</v>
      </c>
      <c r="D154" t="s">
        <v>22</v>
      </c>
      <c r="E154" t="s">
        <v>23</v>
      </c>
      <c r="F154">
        <v>4.0199999999999996</v>
      </c>
      <c r="G154">
        <v>116800</v>
      </c>
      <c r="H154" t="s">
        <v>18</v>
      </c>
      <c r="I154">
        <v>1353.2</v>
      </c>
      <c r="J154">
        <v>811.92</v>
      </c>
      <c r="K154">
        <v>1.99</v>
      </c>
      <c r="L154">
        <v>164</v>
      </c>
      <c r="M154" t="s">
        <v>19</v>
      </c>
      <c r="N154">
        <v>680</v>
      </c>
    </row>
    <row r="155" spans="1:14" x14ac:dyDescent="0.3">
      <c r="A155">
        <v>2013</v>
      </c>
      <c r="B155" t="s">
        <v>312</v>
      </c>
      <c r="C155" t="s">
        <v>313</v>
      </c>
      <c r="D155" t="s">
        <v>22</v>
      </c>
      <c r="E155" t="s">
        <v>52</v>
      </c>
      <c r="F155">
        <v>4.54</v>
      </c>
      <c r="G155">
        <v>159774</v>
      </c>
      <c r="H155" t="s">
        <v>40</v>
      </c>
      <c r="I155">
        <v>668.25</v>
      </c>
      <c r="J155">
        <v>400.95</v>
      </c>
      <c r="K155">
        <v>0.99</v>
      </c>
      <c r="L155">
        <v>165</v>
      </c>
      <c r="M155" t="s">
        <v>26</v>
      </c>
      <c r="N155">
        <v>675</v>
      </c>
    </row>
    <row r="156" spans="1:14" x14ac:dyDescent="0.3">
      <c r="A156">
        <v>2008</v>
      </c>
      <c r="B156" t="s">
        <v>314</v>
      </c>
      <c r="C156" t="s">
        <v>315</v>
      </c>
      <c r="D156" t="s">
        <v>22</v>
      </c>
      <c r="E156" t="s">
        <v>23</v>
      </c>
      <c r="F156">
        <v>3.85</v>
      </c>
      <c r="G156">
        <v>144606</v>
      </c>
      <c r="H156" t="s">
        <v>18</v>
      </c>
      <c r="I156">
        <v>3678.3</v>
      </c>
      <c r="J156">
        <v>2206.98</v>
      </c>
      <c r="K156">
        <v>5.49</v>
      </c>
      <c r="L156">
        <v>166</v>
      </c>
      <c r="M156" t="s">
        <v>26</v>
      </c>
      <c r="N156">
        <v>670</v>
      </c>
    </row>
    <row r="157" spans="1:14" x14ac:dyDescent="0.3">
      <c r="A157">
        <v>2003</v>
      </c>
      <c r="B157" t="s">
        <v>316</v>
      </c>
      <c r="C157" t="s">
        <v>71</v>
      </c>
      <c r="D157" t="s">
        <v>16</v>
      </c>
      <c r="E157" t="s">
        <v>23</v>
      </c>
      <c r="F157">
        <v>3.98</v>
      </c>
      <c r="G157">
        <v>118045</v>
      </c>
      <c r="H157" t="s">
        <v>18</v>
      </c>
      <c r="I157">
        <v>658.35</v>
      </c>
      <c r="J157">
        <v>395.01</v>
      </c>
      <c r="K157">
        <v>0.99</v>
      </c>
      <c r="L157">
        <v>167</v>
      </c>
      <c r="M157" t="s">
        <v>26</v>
      </c>
      <c r="N157">
        <v>665</v>
      </c>
    </row>
    <row r="158" spans="1:14" x14ac:dyDescent="0.3">
      <c r="A158">
        <v>2005</v>
      </c>
      <c r="B158" t="s">
        <v>317</v>
      </c>
      <c r="C158" t="s">
        <v>318</v>
      </c>
      <c r="D158" t="s">
        <v>22</v>
      </c>
      <c r="E158" t="s">
        <v>23</v>
      </c>
      <c r="F158">
        <v>4.0599999999999996</v>
      </c>
      <c r="G158">
        <v>130293</v>
      </c>
      <c r="H158" t="s">
        <v>18</v>
      </c>
      <c r="I158">
        <v>7814.4</v>
      </c>
      <c r="J158">
        <v>4688.6400000000003</v>
      </c>
      <c r="K158">
        <v>11.84</v>
      </c>
      <c r="L158">
        <v>168</v>
      </c>
      <c r="M158" t="s">
        <v>45</v>
      </c>
      <c r="N158">
        <v>660</v>
      </c>
    </row>
    <row r="159" spans="1:14" x14ac:dyDescent="0.3">
      <c r="A159">
        <v>2003</v>
      </c>
      <c r="B159" t="s">
        <v>319</v>
      </c>
      <c r="C159" t="s">
        <v>320</v>
      </c>
      <c r="D159" t="s">
        <v>22</v>
      </c>
      <c r="E159" t="s">
        <v>23</v>
      </c>
      <c r="F159">
        <v>3.98</v>
      </c>
      <c r="G159">
        <v>112167</v>
      </c>
      <c r="H159" t="s">
        <v>18</v>
      </c>
      <c r="I159">
        <v>648.45000000000005</v>
      </c>
      <c r="J159">
        <v>0</v>
      </c>
      <c r="K159">
        <v>0.99</v>
      </c>
      <c r="L159">
        <v>169</v>
      </c>
      <c r="M159" t="s">
        <v>26</v>
      </c>
      <c r="N159">
        <v>655</v>
      </c>
    </row>
    <row r="160" spans="1:14" x14ac:dyDescent="0.3">
      <c r="A160">
        <v>2012</v>
      </c>
      <c r="B160" t="s">
        <v>321</v>
      </c>
      <c r="C160" t="s">
        <v>322</v>
      </c>
      <c r="D160" t="s">
        <v>22</v>
      </c>
      <c r="E160" t="s">
        <v>23</v>
      </c>
      <c r="F160">
        <v>3.67</v>
      </c>
      <c r="G160">
        <v>116053</v>
      </c>
      <c r="H160" t="s">
        <v>18</v>
      </c>
      <c r="I160">
        <v>9818.4500000000007</v>
      </c>
      <c r="J160">
        <v>5891.07</v>
      </c>
      <c r="K160">
        <v>14.99</v>
      </c>
      <c r="L160">
        <v>169</v>
      </c>
      <c r="M160" t="s">
        <v>45</v>
      </c>
      <c r="N160">
        <v>655</v>
      </c>
    </row>
    <row r="161" spans="1:14" x14ac:dyDescent="0.3">
      <c r="A161">
        <v>2006</v>
      </c>
      <c r="B161" t="s">
        <v>323</v>
      </c>
      <c r="C161" t="s">
        <v>270</v>
      </c>
      <c r="D161" t="s">
        <v>16</v>
      </c>
      <c r="E161" t="s">
        <v>23</v>
      </c>
      <c r="F161">
        <v>3.69</v>
      </c>
      <c r="G161">
        <v>110873</v>
      </c>
      <c r="H161" t="s">
        <v>18</v>
      </c>
      <c r="I161">
        <v>3243.5</v>
      </c>
      <c r="J161">
        <v>0</v>
      </c>
      <c r="K161">
        <v>4.99</v>
      </c>
      <c r="L161">
        <v>170</v>
      </c>
      <c r="M161" t="s">
        <v>26</v>
      </c>
      <c r="N161">
        <v>650</v>
      </c>
    </row>
    <row r="162" spans="1:14" x14ac:dyDescent="0.3">
      <c r="A162">
        <v>1999</v>
      </c>
      <c r="B162" t="s">
        <v>324</v>
      </c>
      <c r="C162" t="s">
        <v>73</v>
      </c>
      <c r="D162" t="s">
        <v>22</v>
      </c>
      <c r="E162" t="s">
        <v>23</v>
      </c>
      <c r="F162">
        <v>4.3099999999999996</v>
      </c>
      <c r="G162">
        <v>131481</v>
      </c>
      <c r="H162" t="s">
        <v>18</v>
      </c>
      <c r="I162">
        <v>1943.5</v>
      </c>
      <c r="J162">
        <v>0</v>
      </c>
      <c r="K162">
        <v>2.99</v>
      </c>
      <c r="L162">
        <v>170</v>
      </c>
      <c r="M162" t="s">
        <v>26</v>
      </c>
      <c r="N162">
        <v>650</v>
      </c>
    </row>
    <row r="163" spans="1:14" x14ac:dyDescent="0.3">
      <c r="A163">
        <v>2008</v>
      </c>
      <c r="B163" t="s">
        <v>325</v>
      </c>
      <c r="C163" t="s">
        <v>326</v>
      </c>
      <c r="D163" t="s">
        <v>16</v>
      </c>
      <c r="E163" t="s">
        <v>23</v>
      </c>
      <c r="F163">
        <v>4.04</v>
      </c>
      <c r="G163">
        <v>121966</v>
      </c>
      <c r="H163" t="s">
        <v>18</v>
      </c>
      <c r="I163">
        <v>3218.55</v>
      </c>
      <c r="J163">
        <v>0</v>
      </c>
      <c r="K163">
        <v>4.99</v>
      </c>
      <c r="L163">
        <v>171</v>
      </c>
      <c r="M163" t="s">
        <v>26</v>
      </c>
      <c r="N163">
        <v>645</v>
      </c>
    </row>
    <row r="164" spans="1:14" x14ac:dyDescent="0.3">
      <c r="A164">
        <v>1987</v>
      </c>
      <c r="B164" t="s">
        <v>327</v>
      </c>
      <c r="C164" t="s">
        <v>113</v>
      </c>
      <c r="D164" t="s">
        <v>22</v>
      </c>
      <c r="E164" t="s">
        <v>23</v>
      </c>
      <c r="F164">
        <v>3.77</v>
      </c>
      <c r="G164">
        <v>128244</v>
      </c>
      <c r="H164" t="s">
        <v>18</v>
      </c>
      <c r="I164">
        <v>4473.6000000000004</v>
      </c>
      <c r="J164">
        <v>2684.16</v>
      </c>
      <c r="K164">
        <v>6.99</v>
      </c>
      <c r="L164">
        <v>172</v>
      </c>
      <c r="M164" t="s">
        <v>45</v>
      </c>
      <c r="N164">
        <v>640</v>
      </c>
    </row>
    <row r="165" spans="1:14" x14ac:dyDescent="0.3">
      <c r="A165">
        <v>2008</v>
      </c>
      <c r="B165" t="s">
        <v>328</v>
      </c>
      <c r="C165" t="s">
        <v>248</v>
      </c>
      <c r="D165" t="s">
        <v>16</v>
      </c>
      <c r="E165" t="s">
        <v>23</v>
      </c>
      <c r="F165">
        <v>3.7</v>
      </c>
      <c r="G165">
        <v>124812</v>
      </c>
      <c r="H165" t="s">
        <v>18</v>
      </c>
      <c r="I165">
        <v>5663.7</v>
      </c>
      <c r="J165">
        <v>3398.22</v>
      </c>
      <c r="K165">
        <v>8.99</v>
      </c>
      <c r="L165">
        <v>174</v>
      </c>
      <c r="M165" t="s">
        <v>65</v>
      </c>
      <c r="N165">
        <v>630</v>
      </c>
    </row>
    <row r="166" spans="1:14" x14ac:dyDescent="0.3">
      <c r="A166">
        <v>2014</v>
      </c>
      <c r="B166" t="s">
        <v>329</v>
      </c>
      <c r="C166" t="s">
        <v>330</v>
      </c>
      <c r="D166" t="s">
        <v>22</v>
      </c>
      <c r="E166" t="s">
        <v>23</v>
      </c>
      <c r="F166">
        <v>4.03</v>
      </c>
      <c r="G166">
        <v>120008</v>
      </c>
      <c r="H166" t="s">
        <v>18</v>
      </c>
      <c r="I166">
        <v>608.85</v>
      </c>
      <c r="J166">
        <v>0</v>
      </c>
      <c r="K166">
        <v>0.99</v>
      </c>
      <c r="L166">
        <v>177</v>
      </c>
      <c r="M166" t="s">
        <v>26</v>
      </c>
      <c r="N166">
        <v>615</v>
      </c>
    </row>
    <row r="167" spans="1:14" x14ac:dyDescent="0.3">
      <c r="A167">
        <v>1985</v>
      </c>
      <c r="B167" t="s">
        <v>331</v>
      </c>
      <c r="C167" t="s">
        <v>332</v>
      </c>
      <c r="D167" t="s">
        <v>22</v>
      </c>
      <c r="E167" t="s">
        <v>23</v>
      </c>
      <c r="F167">
        <v>4.05</v>
      </c>
      <c r="G167">
        <v>141299</v>
      </c>
      <c r="H167" t="s">
        <v>18</v>
      </c>
      <c r="I167">
        <v>603.9</v>
      </c>
      <c r="J167">
        <v>362.34</v>
      </c>
      <c r="K167">
        <v>0.99</v>
      </c>
      <c r="L167">
        <v>178</v>
      </c>
      <c r="M167" t="s">
        <v>26</v>
      </c>
      <c r="N167">
        <v>610</v>
      </c>
    </row>
    <row r="168" spans="1:14" x14ac:dyDescent="0.3">
      <c r="A168">
        <v>2011</v>
      </c>
      <c r="B168" t="s">
        <v>333</v>
      </c>
      <c r="C168" t="s">
        <v>334</v>
      </c>
      <c r="D168" t="s">
        <v>22</v>
      </c>
      <c r="E168" t="s">
        <v>23</v>
      </c>
      <c r="F168">
        <v>3.85</v>
      </c>
      <c r="G168">
        <v>124837</v>
      </c>
      <c r="H168" t="s">
        <v>18</v>
      </c>
      <c r="I168">
        <v>1210</v>
      </c>
      <c r="J168">
        <v>0</v>
      </c>
      <c r="K168">
        <v>2</v>
      </c>
      <c r="L168">
        <v>179</v>
      </c>
      <c r="M168" t="s">
        <v>26</v>
      </c>
      <c r="N168">
        <v>605</v>
      </c>
    </row>
    <row r="169" spans="1:14" x14ac:dyDescent="0.3">
      <c r="A169">
        <v>2008</v>
      </c>
      <c r="B169" t="s">
        <v>335</v>
      </c>
      <c r="C169" t="s">
        <v>336</v>
      </c>
      <c r="D169" t="s">
        <v>16</v>
      </c>
      <c r="E169" t="s">
        <v>23</v>
      </c>
      <c r="F169">
        <v>4</v>
      </c>
      <c r="G169">
        <v>110939</v>
      </c>
      <c r="H169" t="s">
        <v>18</v>
      </c>
      <c r="I169">
        <v>594</v>
      </c>
      <c r="J169">
        <v>0</v>
      </c>
      <c r="K169">
        <v>0.99</v>
      </c>
      <c r="L169">
        <v>180</v>
      </c>
      <c r="M169" t="s">
        <v>26</v>
      </c>
      <c r="N169">
        <v>600</v>
      </c>
    </row>
    <row r="170" spans="1:14" x14ac:dyDescent="0.3">
      <c r="A170">
        <v>1869</v>
      </c>
      <c r="B170" t="s">
        <v>337</v>
      </c>
      <c r="C170" t="s">
        <v>338</v>
      </c>
      <c r="D170" t="s">
        <v>22</v>
      </c>
      <c r="E170" t="s">
        <v>23</v>
      </c>
      <c r="F170">
        <v>3.86</v>
      </c>
      <c r="G170">
        <v>121112</v>
      </c>
      <c r="H170" t="s">
        <v>18</v>
      </c>
      <c r="I170">
        <v>3540.25</v>
      </c>
      <c r="J170">
        <v>0</v>
      </c>
      <c r="K170">
        <v>5.95</v>
      </c>
      <c r="L170">
        <v>181</v>
      </c>
      <c r="M170" t="s">
        <v>26</v>
      </c>
      <c r="N170">
        <v>595</v>
      </c>
    </row>
    <row r="171" spans="1:14" x14ac:dyDescent="0.3">
      <c r="A171">
        <v>2005</v>
      </c>
      <c r="B171" t="s">
        <v>339</v>
      </c>
      <c r="C171" t="s">
        <v>340</v>
      </c>
      <c r="D171" t="s">
        <v>16</v>
      </c>
      <c r="E171" t="s">
        <v>23</v>
      </c>
      <c r="F171">
        <v>3.88</v>
      </c>
      <c r="G171">
        <v>124786</v>
      </c>
      <c r="H171" t="s">
        <v>18</v>
      </c>
      <c r="I171">
        <v>3564.05</v>
      </c>
      <c r="J171">
        <v>2138.4299999999998</v>
      </c>
      <c r="K171">
        <v>5.99</v>
      </c>
      <c r="L171">
        <v>181</v>
      </c>
      <c r="M171" t="s">
        <v>33</v>
      </c>
      <c r="N171">
        <v>595</v>
      </c>
    </row>
    <row r="172" spans="1:14" x14ac:dyDescent="0.3">
      <c r="A172">
        <v>1925</v>
      </c>
      <c r="B172" t="s">
        <v>341</v>
      </c>
      <c r="C172" t="s">
        <v>342</v>
      </c>
      <c r="D172" t="s">
        <v>16</v>
      </c>
      <c r="E172" t="s">
        <v>23</v>
      </c>
      <c r="F172">
        <v>3.78</v>
      </c>
      <c r="G172">
        <v>136327</v>
      </c>
      <c r="H172" t="s">
        <v>18</v>
      </c>
      <c r="I172">
        <v>1174.0999999999999</v>
      </c>
      <c r="J172">
        <v>704.46</v>
      </c>
      <c r="K172">
        <v>1.99</v>
      </c>
      <c r="L172">
        <v>182</v>
      </c>
      <c r="M172" t="s">
        <v>26</v>
      </c>
      <c r="N172">
        <v>590</v>
      </c>
    </row>
    <row r="173" spans="1:14" x14ac:dyDescent="0.3">
      <c r="A173">
        <v>2009</v>
      </c>
      <c r="B173" t="s">
        <v>343</v>
      </c>
      <c r="C173" t="s">
        <v>344</v>
      </c>
      <c r="D173" t="s">
        <v>92</v>
      </c>
      <c r="E173" t="s">
        <v>23</v>
      </c>
      <c r="F173">
        <v>3.81</v>
      </c>
      <c r="G173">
        <v>92275</v>
      </c>
      <c r="H173" t="s">
        <v>18</v>
      </c>
      <c r="I173">
        <v>5200.6499999999996</v>
      </c>
      <c r="J173">
        <v>3120.39</v>
      </c>
      <c r="K173">
        <v>8.89</v>
      </c>
      <c r="L173">
        <v>183</v>
      </c>
      <c r="M173" t="s">
        <v>133</v>
      </c>
      <c r="N173">
        <v>585</v>
      </c>
    </row>
    <row r="174" spans="1:14" x14ac:dyDescent="0.3">
      <c r="A174">
        <v>1998</v>
      </c>
      <c r="B174" t="s">
        <v>345</v>
      </c>
      <c r="C174" t="s">
        <v>73</v>
      </c>
      <c r="D174" t="s">
        <v>16</v>
      </c>
      <c r="E174" t="s">
        <v>23</v>
      </c>
      <c r="F174">
        <v>3.87</v>
      </c>
      <c r="G174">
        <v>131004</v>
      </c>
      <c r="H174" t="s">
        <v>18</v>
      </c>
      <c r="I174">
        <v>569.25</v>
      </c>
      <c r="J174">
        <v>0</v>
      </c>
      <c r="K174">
        <v>0.99</v>
      </c>
      <c r="L174">
        <v>185</v>
      </c>
      <c r="M174" t="s">
        <v>26</v>
      </c>
      <c r="N174">
        <v>575</v>
      </c>
    </row>
    <row r="175" spans="1:14" x14ac:dyDescent="0.3">
      <c r="A175">
        <v>1985</v>
      </c>
      <c r="B175" t="s">
        <v>346</v>
      </c>
      <c r="C175" t="s">
        <v>347</v>
      </c>
      <c r="D175" t="s">
        <v>22</v>
      </c>
      <c r="E175" t="s">
        <v>23</v>
      </c>
      <c r="F175">
        <v>4.0999999999999996</v>
      </c>
      <c r="G175">
        <v>124876</v>
      </c>
      <c r="H175" t="s">
        <v>18</v>
      </c>
      <c r="I175">
        <v>1134.3</v>
      </c>
      <c r="J175">
        <v>0</v>
      </c>
      <c r="K175">
        <v>1.99</v>
      </c>
      <c r="L175">
        <v>186</v>
      </c>
      <c r="M175" t="s">
        <v>26</v>
      </c>
      <c r="N175">
        <v>570</v>
      </c>
    </row>
    <row r="176" spans="1:14" x14ac:dyDescent="0.3">
      <c r="A176">
        <v>1984</v>
      </c>
      <c r="B176" t="s">
        <v>348</v>
      </c>
      <c r="C176" t="s">
        <v>349</v>
      </c>
      <c r="D176" t="s">
        <v>92</v>
      </c>
      <c r="E176" t="s">
        <v>23</v>
      </c>
      <c r="F176">
        <v>3.66</v>
      </c>
      <c r="G176">
        <v>130219</v>
      </c>
      <c r="H176" t="s">
        <v>18</v>
      </c>
      <c r="I176">
        <v>1659.45</v>
      </c>
      <c r="J176">
        <v>0</v>
      </c>
      <c r="K176">
        <v>2.99</v>
      </c>
      <c r="L176">
        <v>189</v>
      </c>
      <c r="M176" t="s">
        <v>26</v>
      </c>
      <c r="N176">
        <v>555</v>
      </c>
    </row>
    <row r="177" spans="1:14" x14ac:dyDescent="0.3">
      <c r="A177">
        <v>1872</v>
      </c>
      <c r="B177" t="s">
        <v>350</v>
      </c>
      <c r="C177" t="s">
        <v>351</v>
      </c>
      <c r="D177" t="s">
        <v>22</v>
      </c>
      <c r="E177" t="s">
        <v>23</v>
      </c>
      <c r="F177">
        <v>3.9</v>
      </c>
      <c r="G177">
        <v>117108</v>
      </c>
      <c r="H177" t="s">
        <v>18</v>
      </c>
      <c r="I177">
        <v>4434.45</v>
      </c>
      <c r="J177">
        <v>2660.67</v>
      </c>
      <c r="K177">
        <v>7.99</v>
      </c>
      <c r="L177">
        <v>189</v>
      </c>
      <c r="M177" t="s">
        <v>33</v>
      </c>
      <c r="N177">
        <v>555</v>
      </c>
    </row>
    <row r="178" spans="1:14" x14ac:dyDescent="0.3">
      <c r="A178">
        <v>1994</v>
      </c>
      <c r="B178" t="s">
        <v>352</v>
      </c>
      <c r="C178" t="s">
        <v>353</v>
      </c>
      <c r="D178" t="s">
        <v>22</v>
      </c>
      <c r="E178" t="s">
        <v>23</v>
      </c>
      <c r="F178">
        <v>3.95</v>
      </c>
      <c r="G178">
        <v>129350</v>
      </c>
      <c r="H178" t="s">
        <v>40</v>
      </c>
      <c r="I178">
        <v>544.5</v>
      </c>
      <c r="J178">
        <v>326.7</v>
      </c>
      <c r="K178">
        <v>0.99</v>
      </c>
      <c r="L178">
        <v>190</v>
      </c>
      <c r="M178" t="s">
        <v>26</v>
      </c>
      <c r="N178">
        <v>550</v>
      </c>
    </row>
    <row r="179" spans="1:14" x14ac:dyDescent="0.3">
      <c r="A179">
        <v>2003</v>
      </c>
      <c r="B179" t="s">
        <v>354</v>
      </c>
      <c r="C179" t="s">
        <v>217</v>
      </c>
      <c r="D179" t="s">
        <v>22</v>
      </c>
      <c r="E179" t="s">
        <v>23</v>
      </c>
      <c r="F179">
        <v>3.69</v>
      </c>
      <c r="G179">
        <v>102206</v>
      </c>
      <c r="H179" t="s">
        <v>18</v>
      </c>
      <c r="I179">
        <v>534.6</v>
      </c>
      <c r="J179">
        <v>0</v>
      </c>
      <c r="K179">
        <v>0.99</v>
      </c>
      <c r="L179">
        <v>192</v>
      </c>
      <c r="M179" t="s">
        <v>26</v>
      </c>
      <c r="N179">
        <v>540</v>
      </c>
    </row>
    <row r="180" spans="1:14" x14ac:dyDescent="0.3">
      <c r="A180">
        <v>1953</v>
      </c>
      <c r="B180" t="s">
        <v>355</v>
      </c>
      <c r="C180" t="s">
        <v>356</v>
      </c>
      <c r="D180" t="s">
        <v>22</v>
      </c>
      <c r="E180" t="s">
        <v>23</v>
      </c>
      <c r="F180">
        <v>4.1900000000000004</v>
      </c>
      <c r="G180">
        <v>105138</v>
      </c>
      <c r="H180" t="s">
        <v>18</v>
      </c>
      <c r="I180">
        <v>2154.6</v>
      </c>
      <c r="J180">
        <v>0</v>
      </c>
      <c r="K180">
        <v>3.99</v>
      </c>
      <c r="L180">
        <v>192</v>
      </c>
      <c r="M180" t="s">
        <v>26</v>
      </c>
      <c r="N180">
        <v>540</v>
      </c>
    </row>
    <row r="181" spans="1:14" x14ac:dyDescent="0.3">
      <c r="A181">
        <v>2005</v>
      </c>
      <c r="B181" t="s">
        <v>357</v>
      </c>
      <c r="C181" t="s">
        <v>358</v>
      </c>
      <c r="D181" t="s">
        <v>22</v>
      </c>
      <c r="E181" t="s">
        <v>23</v>
      </c>
      <c r="F181">
        <v>3.67</v>
      </c>
      <c r="G181">
        <v>121373</v>
      </c>
      <c r="H181" t="s">
        <v>40</v>
      </c>
      <c r="I181">
        <v>1599.65</v>
      </c>
      <c r="J181">
        <v>959.79</v>
      </c>
      <c r="K181">
        <v>2.99</v>
      </c>
      <c r="L181">
        <v>193</v>
      </c>
      <c r="M181" t="s">
        <v>45</v>
      </c>
      <c r="N181">
        <v>535</v>
      </c>
    </row>
    <row r="182" spans="1:14" x14ac:dyDescent="0.3">
      <c r="A182">
        <v>2007</v>
      </c>
      <c r="B182" t="s">
        <v>359</v>
      </c>
      <c r="C182" t="s">
        <v>360</v>
      </c>
      <c r="D182" t="s">
        <v>22</v>
      </c>
      <c r="E182" t="s">
        <v>23</v>
      </c>
      <c r="F182">
        <v>4.18</v>
      </c>
      <c r="G182">
        <v>143892</v>
      </c>
      <c r="H182" t="s">
        <v>18</v>
      </c>
      <c r="I182">
        <v>524.70000000000005</v>
      </c>
      <c r="J182">
        <v>314.82</v>
      </c>
      <c r="K182">
        <v>0.99</v>
      </c>
      <c r="L182">
        <v>194</v>
      </c>
      <c r="M182" t="s">
        <v>133</v>
      </c>
      <c r="N182">
        <v>530</v>
      </c>
    </row>
    <row r="183" spans="1:14" x14ac:dyDescent="0.3">
      <c r="A183">
        <v>1996</v>
      </c>
      <c r="B183" t="s">
        <v>361</v>
      </c>
      <c r="C183" t="s">
        <v>75</v>
      </c>
      <c r="D183" t="s">
        <v>22</v>
      </c>
      <c r="E183" t="s">
        <v>23</v>
      </c>
      <c r="F183">
        <v>4.34</v>
      </c>
      <c r="G183">
        <v>123736</v>
      </c>
      <c r="H183" t="s">
        <v>40</v>
      </c>
      <c r="I183">
        <v>1024.8499999999999</v>
      </c>
      <c r="J183">
        <v>614.91</v>
      </c>
      <c r="K183">
        <v>1.99</v>
      </c>
      <c r="L183">
        <v>197</v>
      </c>
      <c r="M183" t="s">
        <v>26</v>
      </c>
      <c r="N183">
        <v>515</v>
      </c>
    </row>
    <row r="184" spans="1:14" x14ac:dyDescent="0.3">
      <c r="A184">
        <v>2013</v>
      </c>
      <c r="B184" t="s">
        <v>362</v>
      </c>
      <c r="C184" t="s">
        <v>363</v>
      </c>
      <c r="D184" t="s">
        <v>22</v>
      </c>
      <c r="E184" t="s">
        <v>23</v>
      </c>
      <c r="F184">
        <v>4.29</v>
      </c>
      <c r="G184">
        <v>149702</v>
      </c>
      <c r="H184" t="s">
        <v>18</v>
      </c>
      <c r="I184">
        <v>1524.9</v>
      </c>
      <c r="J184">
        <v>0</v>
      </c>
      <c r="K184">
        <v>2.99</v>
      </c>
      <c r="L184">
        <v>198</v>
      </c>
      <c r="M184" t="s">
        <v>26</v>
      </c>
      <c r="N184">
        <v>510</v>
      </c>
    </row>
    <row r="185" spans="1:14" x14ac:dyDescent="0.3">
      <c r="A185">
        <v>1603</v>
      </c>
      <c r="B185" t="s">
        <v>364</v>
      </c>
      <c r="C185" t="s">
        <v>365</v>
      </c>
      <c r="D185" t="s">
        <v>22</v>
      </c>
      <c r="E185" t="s">
        <v>23</v>
      </c>
      <c r="F185">
        <v>3.89</v>
      </c>
      <c r="G185">
        <v>135448</v>
      </c>
      <c r="H185" t="s">
        <v>18</v>
      </c>
      <c r="I185">
        <v>2014.95</v>
      </c>
      <c r="J185">
        <v>1208.97</v>
      </c>
      <c r="K185">
        <v>3.99</v>
      </c>
      <c r="L185">
        <v>199</v>
      </c>
      <c r="M185" t="s">
        <v>26</v>
      </c>
      <c r="N185">
        <v>505</v>
      </c>
    </row>
    <row r="186" spans="1:14" x14ac:dyDescent="0.3">
      <c r="A186">
        <v>1949</v>
      </c>
      <c r="B186" t="s">
        <v>366</v>
      </c>
      <c r="C186" t="s">
        <v>367</v>
      </c>
      <c r="D186" t="s">
        <v>22</v>
      </c>
      <c r="E186" t="s">
        <v>17</v>
      </c>
      <c r="F186">
        <v>3.49</v>
      </c>
      <c r="G186">
        <v>132061</v>
      </c>
      <c r="H186" t="s">
        <v>18</v>
      </c>
      <c r="I186">
        <v>5433.18</v>
      </c>
      <c r="J186">
        <v>3259.9079999999999</v>
      </c>
      <c r="K186">
        <v>10.91</v>
      </c>
      <c r="L186">
        <v>201</v>
      </c>
      <c r="M186" t="s">
        <v>33</v>
      </c>
      <c r="N186">
        <v>498</v>
      </c>
    </row>
    <row r="187" spans="1:14" x14ac:dyDescent="0.3">
      <c r="A187">
        <v>2007</v>
      </c>
      <c r="B187" t="s">
        <v>368</v>
      </c>
      <c r="C187" t="s">
        <v>71</v>
      </c>
      <c r="D187" t="s">
        <v>16</v>
      </c>
      <c r="E187" t="s">
        <v>23</v>
      </c>
      <c r="F187">
        <v>3.99</v>
      </c>
      <c r="G187">
        <v>93479</v>
      </c>
      <c r="H187" t="s">
        <v>18</v>
      </c>
      <c r="I187">
        <v>1483.04</v>
      </c>
      <c r="J187">
        <v>0</v>
      </c>
      <c r="K187">
        <v>2.99</v>
      </c>
      <c r="L187">
        <v>202</v>
      </c>
      <c r="M187" t="s">
        <v>26</v>
      </c>
      <c r="N187">
        <v>496</v>
      </c>
    </row>
    <row r="188" spans="1:14" x14ac:dyDescent="0.3">
      <c r="A188">
        <v>2012</v>
      </c>
      <c r="B188" t="s">
        <v>369</v>
      </c>
      <c r="C188" t="s">
        <v>370</v>
      </c>
      <c r="D188" t="s">
        <v>16</v>
      </c>
      <c r="E188" t="s">
        <v>52</v>
      </c>
      <c r="F188">
        <v>4.51</v>
      </c>
      <c r="G188">
        <v>119915</v>
      </c>
      <c r="H188" t="s">
        <v>18</v>
      </c>
      <c r="I188">
        <v>2950.91</v>
      </c>
      <c r="J188">
        <v>1770.546</v>
      </c>
      <c r="K188">
        <v>6.01</v>
      </c>
      <c r="L188">
        <v>205</v>
      </c>
      <c r="M188" t="s">
        <v>19</v>
      </c>
      <c r="N188">
        <v>491</v>
      </c>
    </row>
    <row r="189" spans="1:14" x14ac:dyDescent="0.3">
      <c r="A189">
        <v>1929</v>
      </c>
      <c r="B189" t="s">
        <v>369</v>
      </c>
      <c r="C189" t="s">
        <v>371</v>
      </c>
      <c r="D189" t="s">
        <v>22</v>
      </c>
      <c r="E189" t="s">
        <v>23</v>
      </c>
      <c r="F189">
        <v>3.86</v>
      </c>
      <c r="G189">
        <v>124665</v>
      </c>
      <c r="H189" t="s">
        <v>18</v>
      </c>
      <c r="I189">
        <v>2445.1</v>
      </c>
      <c r="J189">
        <v>1467.06</v>
      </c>
      <c r="K189">
        <v>4.99</v>
      </c>
      <c r="L189">
        <v>206</v>
      </c>
      <c r="M189" t="s">
        <v>30</v>
      </c>
      <c r="N189">
        <v>490</v>
      </c>
    </row>
    <row r="190" spans="1:14" x14ac:dyDescent="0.3">
      <c r="A190">
        <v>2005</v>
      </c>
      <c r="B190" t="s">
        <v>372</v>
      </c>
      <c r="C190" t="s">
        <v>373</v>
      </c>
      <c r="D190" t="s">
        <v>22</v>
      </c>
      <c r="E190" t="s">
        <v>23</v>
      </c>
      <c r="F190">
        <v>4.0199999999999996</v>
      </c>
      <c r="G190">
        <v>106211</v>
      </c>
      <c r="H190" t="s">
        <v>18</v>
      </c>
      <c r="I190">
        <v>483.12</v>
      </c>
      <c r="J190">
        <v>289.87200000000001</v>
      </c>
      <c r="K190">
        <v>0.99</v>
      </c>
      <c r="L190">
        <v>207</v>
      </c>
      <c r="M190" t="s">
        <v>26</v>
      </c>
      <c r="N190">
        <v>488</v>
      </c>
    </row>
    <row r="191" spans="1:14" x14ac:dyDescent="0.3">
      <c r="A191">
        <v>2002</v>
      </c>
      <c r="B191" t="s">
        <v>374</v>
      </c>
      <c r="C191" t="s">
        <v>375</v>
      </c>
      <c r="D191" t="s">
        <v>22</v>
      </c>
      <c r="E191" t="s">
        <v>23</v>
      </c>
      <c r="F191">
        <v>4.21</v>
      </c>
      <c r="G191">
        <v>120004</v>
      </c>
      <c r="H191" t="s">
        <v>29</v>
      </c>
      <c r="I191">
        <v>2605.92</v>
      </c>
      <c r="J191">
        <v>1563.5519999999999</v>
      </c>
      <c r="K191">
        <v>5.34</v>
      </c>
      <c r="L191">
        <v>207</v>
      </c>
      <c r="M191" t="s">
        <v>33</v>
      </c>
      <c r="N191">
        <v>488</v>
      </c>
    </row>
    <row r="192" spans="1:14" x14ac:dyDescent="0.3">
      <c r="A192">
        <v>2013</v>
      </c>
      <c r="B192" t="s">
        <v>376</v>
      </c>
      <c r="C192" t="s">
        <v>377</v>
      </c>
      <c r="D192" t="s">
        <v>22</v>
      </c>
      <c r="E192" t="s">
        <v>23</v>
      </c>
      <c r="F192">
        <v>4.17</v>
      </c>
      <c r="G192">
        <v>118910</v>
      </c>
      <c r="H192" t="s">
        <v>18</v>
      </c>
      <c r="I192">
        <v>5269.53</v>
      </c>
      <c r="J192">
        <v>3161.7179999999998</v>
      </c>
      <c r="K192">
        <v>10.91</v>
      </c>
      <c r="L192">
        <v>210</v>
      </c>
      <c r="M192" t="s">
        <v>33</v>
      </c>
      <c r="N192">
        <v>483</v>
      </c>
    </row>
    <row r="193" spans="1:14" x14ac:dyDescent="0.3">
      <c r="A193">
        <v>1992</v>
      </c>
      <c r="B193" t="s">
        <v>376</v>
      </c>
      <c r="C193" t="s">
        <v>378</v>
      </c>
      <c r="D193" t="s">
        <v>16</v>
      </c>
      <c r="E193" t="s">
        <v>23</v>
      </c>
      <c r="F193">
        <v>4.21</v>
      </c>
      <c r="G193">
        <v>122524</v>
      </c>
      <c r="H193" t="s">
        <v>40</v>
      </c>
      <c r="I193">
        <v>2057.58</v>
      </c>
      <c r="J193">
        <v>1234.548</v>
      </c>
      <c r="K193">
        <v>4.26</v>
      </c>
      <c r="L193">
        <v>210</v>
      </c>
      <c r="M193" t="s">
        <v>379</v>
      </c>
      <c r="N193">
        <v>483</v>
      </c>
    </row>
    <row r="194" spans="1:14" x14ac:dyDescent="0.3">
      <c r="A194">
        <v>2003</v>
      </c>
      <c r="B194" t="s">
        <v>380</v>
      </c>
      <c r="C194" t="s">
        <v>381</v>
      </c>
      <c r="D194" t="s">
        <v>22</v>
      </c>
      <c r="E194" t="s">
        <v>23</v>
      </c>
      <c r="F194">
        <v>4.26</v>
      </c>
      <c r="G194">
        <v>95213</v>
      </c>
      <c r="H194" t="s">
        <v>18</v>
      </c>
      <c r="I194">
        <v>476.19</v>
      </c>
      <c r="J194">
        <v>0</v>
      </c>
      <c r="K194">
        <v>0.99</v>
      </c>
      <c r="L194">
        <v>211</v>
      </c>
      <c r="M194" t="s">
        <v>26</v>
      </c>
      <c r="N194">
        <v>481</v>
      </c>
    </row>
    <row r="195" spans="1:14" x14ac:dyDescent="0.3">
      <c r="A195">
        <v>2008</v>
      </c>
      <c r="B195" t="s">
        <v>382</v>
      </c>
      <c r="C195" t="s">
        <v>82</v>
      </c>
      <c r="D195" t="s">
        <v>22</v>
      </c>
      <c r="E195" t="s">
        <v>23</v>
      </c>
      <c r="F195">
        <v>4.01</v>
      </c>
      <c r="G195">
        <v>151095</v>
      </c>
      <c r="H195" t="s">
        <v>18</v>
      </c>
      <c r="I195">
        <v>475.2</v>
      </c>
      <c r="J195">
        <v>285.12</v>
      </c>
      <c r="K195">
        <v>0.99</v>
      </c>
      <c r="L195">
        <v>212</v>
      </c>
      <c r="M195" t="s">
        <v>26</v>
      </c>
      <c r="N195">
        <v>480</v>
      </c>
    </row>
    <row r="196" spans="1:14" x14ac:dyDescent="0.3">
      <c r="A196">
        <v>1991</v>
      </c>
      <c r="B196" t="s">
        <v>383</v>
      </c>
      <c r="C196" t="s">
        <v>384</v>
      </c>
      <c r="D196" t="s">
        <v>22</v>
      </c>
      <c r="E196" t="s">
        <v>23</v>
      </c>
      <c r="F196">
        <v>4.24</v>
      </c>
      <c r="G196">
        <v>117483</v>
      </c>
      <c r="H196" t="s">
        <v>18</v>
      </c>
      <c r="I196">
        <v>1429.22</v>
      </c>
      <c r="J196">
        <v>0</v>
      </c>
      <c r="K196">
        <v>2.99</v>
      </c>
      <c r="L196">
        <v>213</v>
      </c>
      <c r="M196" t="s">
        <v>26</v>
      </c>
      <c r="N196">
        <v>478</v>
      </c>
    </row>
    <row r="197" spans="1:14" x14ac:dyDescent="0.3">
      <c r="A197">
        <v>1997</v>
      </c>
      <c r="B197" t="s">
        <v>385</v>
      </c>
      <c r="C197" t="s">
        <v>386</v>
      </c>
      <c r="D197" t="s">
        <v>16</v>
      </c>
      <c r="E197" t="s">
        <v>23</v>
      </c>
      <c r="F197">
        <v>4.18</v>
      </c>
      <c r="G197">
        <v>120541</v>
      </c>
      <c r="H197" t="s">
        <v>18</v>
      </c>
      <c r="I197">
        <v>5253.22</v>
      </c>
      <c r="J197">
        <v>3151.9319999999998</v>
      </c>
      <c r="K197">
        <v>10.99</v>
      </c>
      <c r="L197">
        <v>213</v>
      </c>
      <c r="M197" t="s">
        <v>45</v>
      </c>
      <c r="N197">
        <v>478</v>
      </c>
    </row>
    <row r="198" spans="1:14" x14ac:dyDescent="0.3">
      <c r="A198">
        <v>1995</v>
      </c>
      <c r="B198" t="s">
        <v>387</v>
      </c>
      <c r="C198" t="s">
        <v>388</v>
      </c>
      <c r="D198" t="s">
        <v>22</v>
      </c>
      <c r="E198" t="s">
        <v>23</v>
      </c>
      <c r="F198">
        <v>3.73</v>
      </c>
      <c r="G198">
        <v>119911</v>
      </c>
      <c r="H198" t="s">
        <v>18</v>
      </c>
      <c r="I198">
        <v>1423.24</v>
      </c>
      <c r="J198">
        <v>0</v>
      </c>
      <c r="K198">
        <v>2.99</v>
      </c>
      <c r="L198">
        <v>214</v>
      </c>
      <c r="M198" t="s">
        <v>26</v>
      </c>
      <c r="N198">
        <v>476</v>
      </c>
    </row>
    <row r="199" spans="1:14" x14ac:dyDescent="0.3">
      <c r="A199">
        <v>1967</v>
      </c>
      <c r="B199" t="s">
        <v>389</v>
      </c>
      <c r="C199" t="s">
        <v>390</v>
      </c>
      <c r="D199" t="s">
        <v>22</v>
      </c>
      <c r="E199" t="s">
        <v>23</v>
      </c>
      <c r="F199">
        <v>4.1900000000000004</v>
      </c>
      <c r="G199">
        <v>125668</v>
      </c>
      <c r="H199" t="s">
        <v>18</v>
      </c>
      <c r="I199">
        <v>2375.2399999999998</v>
      </c>
      <c r="J199">
        <v>1425.144</v>
      </c>
      <c r="K199">
        <v>4.99</v>
      </c>
      <c r="L199">
        <v>214</v>
      </c>
      <c r="M199" t="s">
        <v>30</v>
      </c>
      <c r="N199">
        <v>476</v>
      </c>
    </row>
    <row r="200" spans="1:14" x14ac:dyDescent="0.3">
      <c r="A200">
        <v>1989</v>
      </c>
      <c r="B200" t="s">
        <v>391</v>
      </c>
      <c r="C200" t="s">
        <v>392</v>
      </c>
      <c r="D200" t="s">
        <v>22</v>
      </c>
      <c r="E200" t="s">
        <v>23</v>
      </c>
      <c r="F200">
        <v>4.21</v>
      </c>
      <c r="G200">
        <v>122225</v>
      </c>
      <c r="H200" t="s">
        <v>18</v>
      </c>
      <c r="I200">
        <v>470.25</v>
      </c>
      <c r="J200">
        <v>0</v>
      </c>
      <c r="K200">
        <v>0.99</v>
      </c>
      <c r="L200">
        <v>215</v>
      </c>
      <c r="M200" t="s">
        <v>26</v>
      </c>
      <c r="N200">
        <v>475</v>
      </c>
    </row>
    <row r="201" spans="1:14" x14ac:dyDescent="0.3">
      <c r="A201">
        <v>1947</v>
      </c>
      <c r="B201" t="s">
        <v>393</v>
      </c>
      <c r="C201" t="s">
        <v>394</v>
      </c>
      <c r="D201" t="s">
        <v>22</v>
      </c>
      <c r="E201" t="s">
        <v>17</v>
      </c>
      <c r="F201">
        <v>3.41</v>
      </c>
      <c r="G201">
        <v>133264</v>
      </c>
      <c r="H201" t="s">
        <v>18</v>
      </c>
      <c r="I201">
        <v>470.25</v>
      </c>
      <c r="J201">
        <v>282.14999999999998</v>
      </c>
      <c r="K201">
        <v>0.99</v>
      </c>
      <c r="L201">
        <v>215</v>
      </c>
      <c r="M201" t="s">
        <v>26</v>
      </c>
      <c r="N201">
        <v>475</v>
      </c>
    </row>
    <row r="202" spans="1:14" x14ac:dyDescent="0.3">
      <c r="A202">
        <v>1971</v>
      </c>
      <c r="B202" t="s">
        <v>395</v>
      </c>
      <c r="C202" t="s">
        <v>396</v>
      </c>
      <c r="D202" t="s">
        <v>16</v>
      </c>
      <c r="E202" t="s">
        <v>23</v>
      </c>
      <c r="F202">
        <v>4.1399999999999997</v>
      </c>
      <c r="G202">
        <v>124467</v>
      </c>
      <c r="H202" t="s">
        <v>18</v>
      </c>
      <c r="I202">
        <v>1399.32</v>
      </c>
      <c r="J202">
        <v>0</v>
      </c>
      <c r="K202">
        <v>2.99</v>
      </c>
      <c r="L202">
        <v>219</v>
      </c>
      <c r="M202" t="s">
        <v>26</v>
      </c>
      <c r="N202">
        <v>468</v>
      </c>
    </row>
    <row r="203" spans="1:14" x14ac:dyDescent="0.3">
      <c r="A203">
        <v>2009</v>
      </c>
      <c r="B203" t="s">
        <v>397</v>
      </c>
      <c r="C203" t="s">
        <v>398</v>
      </c>
      <c r="D203" t="s">
        <v>22</v>
      </c>
      <c r="E203" t="s">
        <v>23</v>
      </c>
      <c r="F203">
        <v>3.51</v>
      </c>
      <c r="G203">
        <v>145874</v>
      </c>
      <c r="H203" t="s">
        <v>18</v>
      </c>
      <c r="I203">
        <v>461.34</v>
      </c>
      <c r="J203">
        <v>0</v>
      </c>
      <c r="K203">
        <v>0.99</v>
      </c>
      <c r="L203">
        <v>220</v>
      </c>
      <c r="M203" t="s">
        <v>26</v>
      </c>
      <c r="N203">
        <v>466</v>
      </c>
    </row>
    <row r="204" spans="1:14" x14ac:dyDescent="0.3">
      <c r="A204">
        <v>1994</v>
      </c>
      <c r="B204" t="s">
        <v>399</v>
      </c>
      <c r="C204" t="s">
        <v>400</v>
      </c>
      <c r="D204" t="s">
        <v>22</v>
      </c>
      <c r="E204" t="s">
        <v>23</v>
      </c>
      <c r="F204">
        <v>3.8</v>
      </c>
      <c r="G204">
        <v>131945</v>
      </c>
      <c r="H204" t="s">
        <v>18</v>
      </c>
      <c r="I204">
        <v>1393.34</v>
      </c>
      <c r="J204">
        <v>0</v>
      </c>
      <c r="K204">
        <v>2.99</v>
      </c>
      <c r="L204">
        <v>220</v>
      </c>
      <c r="M204" t="s">
        <v>26</v>
      </c>
      <c r="N204">
        <v>466</v>
      </c>
    </row>
    <row r="205" spans="1:14" x14ac:dyDescent="0.3">
      <c r="A205">
        <v>1976</v>
      </c>
      <c r="B205" t="s">
        <v>401</v>
      </c>
      <c r="C205" t="s">
        <v>402</v>
      </c>
      <c r="D205" t="s">
        <v>16</v>
      </c>
      <c r="E205" t="s">
        <v>52</v>
      </c>
      <c r="F205">
        <v>4.42</v>
      </c>
      <c r="G205">
        <v>118951</v>
      </c>
      <c r="H205" t="s">
        <v>18</v>
      </c>
      <c r="I205">
        <v>460.35</v>
      </c>
      <c r="J205">
        <v>276.20999999999998</v>
      </c>
      <c r="K205">
        <v>0.99</v>
      </c>
      <c r="L205">
        <v>221</v>
      </c>
      <c r="M205" t="s">
        <v>133</v>
      </c>
      <c r="N205">
        <v>465</v>
      </c>
    </row>
    <row r="206" spans="1:14" x14ac:dyDescent="0.3">
      <c r="A206">
        <v>1988</v>
      </c>
      <c r="B206" t="s">
        <v>403</v>
      </c>
      <c r="C206" t="s">
        <v>404</v>
      </c>
      <c r="D206" t="s">
        <v>22</v>
      </c>
      <c r="E206" t="s">
        <v>23</v>
      </c>
      <c r="F206">
        <v>4.3600000000000003</v>
      </c>
      <c r="G206">
        <v>113855</v>
      </c>
      <c r="H206" t="s">
        <v>18</v>
      </c>
      <c r="I206">
        <v>455.4</v>
      </c>
      <c r="J206">
        <v>273.24</v>
      </c>
      <c r="K206">
        <v>0.99</v>
      </c>
      <c r="L206">
        <v>224</v>
      </c>
      <c r="M206" t="s">
        <v>45</v>
      </c>
      <c r="N206">
        <v>460</v>
      </c>
    </row>
    <row r="207" spans="1:14" x14ac:dyDescent="0.3">
      <c r="A207">
        <v>1952</v>
      </c>
      <c r="B207" t="s">
        <v>405</v>
      </c>
      <c r="C207" t="s">
        <v>406</v>
      </c>
      <c r="D207" t="s">
        <v>22</v>
      </c>
      <c r="E207" t="s">
        <v>23</v>
      </c>
      <c r="F207">
        <v>3.84</v>
      </c>
      <c r="G207">
        <v>123073</v>
      </c>
      <c r="H207" t="s">
        <v>18</v>
      </c>
      <c r="I207">
        <v>455.4</v>
      </c>
      <c r="J207">
        <v>0</v>
      </c>
      <c r="K207">
        <v>0.99</v>
      </c>
      <c r="L207">
        <v>224</v>
      </c>
      <c r="M207" t="s">
        <v>26</v>
      </c>
      <c r="N207">
        <v>460</v>
      </c>
    </row>
    <row r="208" spans="1:14" x14ac:dyDescent="0.3">
      <c r="A208">
        <v>2007</v>
      </c>
      <c r="B208" t="s">
        <v>407</v>
      </c>
      <c r="C208" t="s">
        <v>408</v>
      </c>
      <c r="D208" t="s">
        <v>16</v>
      </c>
      <c r="E208" t="s">
        <v>23</v>
      </c>
      <c r="F208">
        <v>4.1399999999999997</v>
      </c>
      <c r="G208">
        <v>116260</v>
      </c>
      <c r="H208" t="s">
        <v>18</v>
      </c>
      <c r="I208">
        <v>3643.44</v>
      </c>
      <c r="J208">
        <v>0</v>
      </c>
      <c r="K208">
        <v>7.99</v>
      </c>
      <c r="L208">
        <v>226</v>
      </c>
      <c r="M208" t="s">
        <v>26</v>
      </c>
      <c r="N208">
        <v>456</v>
      </c>
    </row>
    <row r="209" spans="1:14" x14ac:dyDescent="0.3">
      <c r="A209">
        <v>1971</v>
      </c>
      <c r="B209" t="s">
        <v>409</v>
      </c>
      <c r="C209" t="s">
        <v>410</v>
      </c>
      <c r="D209" t="s">
        <v>22</v>
      </c>
      <c r="E209" t="s">
        <v>23</v>
      </c>
      <c r="F209">
        <v>4.13</v>
      </c>
      <c r="G209">
        <v>135978</v>
      </c>
      <c r="H209" t="s">
        <v>18</v>
      </c>
      <c r="I209">
        <v>1815.45</v>
      </c>
      <c r="J209">
        <v>1089.27</v>
      </c>
      <c r="K209">
        <v>3.99</v>
      </c>
      <c r="L209">
        <v>227</v>
      </c>
      <c r="M209" t="s">
        <v>26</v>
      </c>
      <c r="N209">
        <v>455</v>
      </c>
    </row>
    <row r="210" spans="1:14" x14ac:dyDescent="0.3">
      <c r="A210">
        <v>1982</v>
      </c>
      <c r="B210" t="s">
        <v>411</v>
      </c>
      <c r="C210" t="s">
        <v>73</v>
      </c>
      <c r="D210" t="s">
        <v>22</v>
      </c>
      <c r="E210" t="s">
        <v>23</v>
      </c>
      <c r="F210">
        <v>4.34</v>
      </c>
      <c r="G210">
        <v>105961</v>
      </c>
      <c r="H210" t="s">
        <v>18</v>
      </c>
      <c r="I210">
        <v>5000.45</v>
      </c>
      <c r="J210">
        <v>3000.27</v>
      </c>
      <c r="K210">
        <v>10.99</v>
      </c>
      <c r="L210">
        <v>227</v>
      </c>
      <c r="M210" t="s">
        <v>65</v>
      </c>
      <c r="N210">
        <v>455</v>
      </c>
    </row>
    <row r="211" spans="1:14" x14ac:dyDescent="0.3">
      <c r="A211">
        <v>1953</v>
      </c>
      <c r="B211" t="s">
        <v>412</v>
      </c>
      <c r="C211" t="s">
        <v>54</v>
      </c>
      <c r="D211" t="s">
        <v>22</v>
      </c>
      <c r="E211" t="s">
        <v>23</v>
      </c>
      <c r="F211">
        <v>4.33</v>
      </c>
      <c r="G211">
        <v>124320</v>
      </c>
      <c r="H211" t="s">
        <v>18</v>
      </c>
      <c r="I211">
        <v>5195.91</v>
      </c>
      <c r="J211">
        <v>3117.5459999999998</v>
      </c>
      <c r="K211">
        <v>11.47</v>
      </c>
      <c r="L211">
        <v>228</v>
      </c>
      <c r="M211" t="s">
        <v>45</v>
      </c>
      <c r="N211">
        <v>453</v>
      </c>
    </row>
    <row r="212" spans="1:14" x14ac:dyDescent="0.3">
      <c r="A212">
        <v>1998</v>
      </c>
      <c r="B212" t="s">
        <v>413</v>
      </c>
      <c r="C212" t="s">
        <v>414</v>
      </c>
      <c r="D212" t="s">
        <v>22</v>
      </c>
      <c r="E212" t="s">
        <v>17</v>
      </c>
      <c r="F212">
        <v>3.29</v>
      </c>
      <c r="G212">
        <v>113977</v>
      </c>
      <c r="H212" t="s">
        <v>40</v>
      </c>
      <c r="I212">
        <v>448.47</v>
      </c>
      <c r="J212">
        <v>0</v>
      </c>
      <c r="K212">
        <v>0.99</v>
      </c>
      <c r="L212">
        <v>228</v>
      </c>
      <c r="M212" t="s">
        <v>26</v>
      </c>
      <c r="N212">
        <v>453</v>
      </c>
    </row>
    <row r="213" spans="1:14" x14ac:dyDescent="0.3">
      <c r="A213">
        <v>2012</v>
      </c>
      <c r="B213" t="s">
        <v>415</v>
      </c>
      <c r="C213" t="s">
        <v>416</v>
      </c>
      <c r="D213" t="s">
        <v>22</v>
      </c>
      <c r="E213" t="s">
        <v>23</v>
      </c>
      <c r="F213">
        <v>4.24</v>
      </c>
      <c r="G213">
        <v>81982</v>
      </c>
      <c r="H213" t="s">
        <v>18</v>
      </c>
      <c r="I213">
        <v>2250.4899999999998</v>
      </c>
      <c r="J213">
        <v>1350.2940000000001</v>
      </c>
      <c r="K213">
        <v>4.99</v>
      </c>
      <c r="L213">
        <v>229</v>
      </c>
      <c r="M213" t="s">
        <v>33</v>
      </c>
      <c r="N213">
        <v>451</v>
      </c>
    </row>
    <row r="214" spans="1:14" x14ac:dyDescent="0.3">
      <c r="A214">
        <v>2002</v>
      </c>
      <c r="B214" t="s">
        <v>417</v>
      </c>
      <c r="C214" t="s">
        <v>418</v>
      </c>
      <c r="D214" t="s">
        <v>16</v>
      </c>
      <c r="E214" t="s">
        <v>23</v>
      </c>
      <c r="F214">
        <v>4.26</v>
      </c>
      <c r="G214">
        <v>118576</v>
      </c>
      <c r="H214" t="s">
        <v>18</v>
      </c>
      <c r="I214">
        <v>4792.5</v>
      </c>
      <c r="J214">
        <v>2875.5</v>
      </c>
      <c r="K214">
        <v>10.65</v>
      </c>
      <c r="L214">
        <v>230</v>
      </c>
      <c r="M214" t="s">
        <v>45</v>
      </c>
      <c r="N214">
        <v>450</v>
      </c>
    </row>
    <row r="215" spans="1:14" x14ac:dyDescent="0.3">
      <c r="A215">
        <v>1997</v>
      </c>
      <c r="B215" t="s">
        <v>419</v>
      </c>
      <c r="C215" t="s">
        <v>373</v>
      </c>
      <c r="D215" t="s">
        <v>22</v>
      </c>
      <c r="E215" t="s">
        <v>23</v>
      </c>
      <c r="F215">
        <v>4.0999999999999996</v>
      </c>
      <c r="G215">
        <v>104549</v>
      </c>
      <c r="H215" t="s">
        <v>18</v>
      </c>
      <c r="I215">
        <v>4771.2</v>
      </c>
      <c r="J215">
        <v>2862.72</v>
      </c>
      <c r="K215">
        <v>10.65</v>
      </c>
      <c r="L215">
        <v>231</v>
      </c>
      <c r="M215" t="s">
        <v>33</v>
      </c>
      <c r="N215">
        <v>448</v>
      </c>
    </row>
    <row r="216" spans="1:14" x14ac:dyDescent="0.3">
      <c r="A216">
        <v>2012</v>
      </c>
      <c r="B216" t="s">
        <v>420</v>
      </c>
      <c r="C216" t="s">
        <v>421</v>
      </c>
      <c r="D216" t="s">
        <v>22</v>
      </c>
      <c r="E216" t="s">
        <v>23</v>
      </c>
      <c r="F216">
        <v>3.9</v>
      </c>
      <c r="G216">
        <v>118475</v>
      </c>
      <c r="H216" t="s">
        <v>18</v>
      </c>
      <c r="I216">
        <v>443.52</v>
      </c>
      <c r="J216">
        <v>266.11200000000002</v>
      </c>
      <c r="K216">
        <v>0.99</v>
      </c>
      <c r="L216">
        <v>231</v>
      </c>
      <c r="M216" t="s">
        <v>26</v>
      </c>
      <c r="N216">
        <v>448</v>
      </c>
    </row>
    <row r="217" spans="1:14" x14ac:dyDescent="0.3">
      <c r="A217">
        <v>2006</v>
      </c>
      <c r="B217" t="s">
        <v>422</v>
      </c>
      <c r="C217" t="s">
        <v>423</v>
      </c>
      <c r="D217" t="s">
        <v>22</v>
      </c>
      <c r="E217" t="s">
        <v>23</v>
      </c>
      <c r="F217">
        <v>4.3</v>
      </c>
      <c r="G217">
        <v>118751</v>
      </c>
      <c r="H217" t="s">
        <v>18</v>
      </c>
      <c r="I217">
        <v>1324.57</v>
      </c>
      <c r="J217">
        <v>794.74199999999996</v>
      </c>
      <c r="K217">
        <v>2.99</v>
      </c>
      <c r="L217">
        <v>234</v>
      </c>
      <c r="M217" t="s">
        <v>65</v>
      </c>
      <c r="N217">
        <v>443</v>
      </c>
    </row>
    <row r="218" spans="1:14" x14ac:dyDescent="0.3">
      <c r="A218">
        <v>1995</v>
      </c>
      <c r="B218" t="s">
        <v>424</v>
      </c>
      <c r="C218" t="s">
        <v>425</v>
      </c>
      <c r="D218" t="s">
        <v>16</v>
      </c>
      <c r="E218" t="s">
        <v>23</v>
      </c>
      <c r="F218">
        <v>4.17</v>
      </c>
      <c r="G218">
        <v>137047</v>
      </c>
      <c r="H218" t="s">
        <v>18</v>
      </c>
      <c r="I218">
        <v>8811.18</v>
      </c>
      <c r="J218">
        <v>5286.7079999999996</v>
      </c>
      <c r="K218">
        <v>19.98</v>
      </c>
      <c r="L218">
        <v>235</v>
      </c>
      <c r="M218" t="s">
        <v>45</v>
      </c>
      <c r="N218">
        <v>441</v>
      </c>
    </row>
    <row r="219" spans="1:14" x14ac:dyDescent="0.3">
      <c r="A219">
        <v>2009</v>
      </c>
      <c r="B219" t="s">
        <v>426</v>
      </c>
      <c r="C219" t="s">
        <v>82</v>
      </c>
      <c r="D219" t="s">
        <v>22</v>
      </c>
      <c r="E219" t="s">
        <v>23</v>
      </c>
      <c r="F219">
        <v>4.01</v>
      </c>
      <c r="G219">
        <v>145157</v>
      </c>
      <c r="H219" t="s">
        <v>18</v>
      </c>
      <c r="I219">
        <v>2175.64</v>
      </c>
      <c r="J219">
        <v>1305.384</v>
      </c>
      <c r="K219">
        <v>4.99</v>
      </c>
      <c r="L219">
        <v>238</v>
      </c>
      <c r="M219" t="s">
        <v>45</v>
      </c>
      <c r="N219">
        <v>436</v>
      </c>
    </row>
    <row r="220" spans="1:14" x14ac:dyDescent="0.3">
      <c r="A220">
        <v>2013</v>
      </c>
      <c r="B220" t="s">
        <v>427</v>
      </c>
      <c r="C220" t="s">
        <v>194</v>
      </c>
      <c r="D220" t="s">
        <v>22</v>
      </c>
      <c r="E220" t="s">
        <v>23</v>
      </c>
      <c r="F220">
        <v>4.26</v>
      </c>
      <c r="G220">
        <v>109313</v>
      </c>
      <c r="H220" t="s">
        <v>18</v>
      </c>
      <c r="I220">
        <v>430.65</v>
      </c>
      <c r="J220">
        <v>0</v>
      </c>
      <c r="K220">
        <v>0.99</v>
      </c>
      <c r="L220">
        <v>239</v>
      </c>
      <c r="M220" t="s">
        <v>26</v>
      </c>
      <c r="N220">
        <v>435</v>
      </c>
    </row>
    <row r="221" spans="1:14" x14ac:dyDescent="0.3">
      <c r="A221">
        <v>2011</v>
      </c>
      <c r="B221" t="s">
        <v>428</v>
      </c>
      <c r="C221" t="s">
        <v>429</v>
      </c>
      <c r="D221" t="s">
        <v>22</v>
      </c>
      <c r="E221" t="s">
        <v>23</v>
      </c>
      <c r="F221">
        <v>4.2300000000000004</v>
      </c>
      <c r="G221">
        <v>164832</v>
      </c>
      <c r="H221" t="s">
        <v>18</v>
      </c>
      <c r="I221">
        <v>5191.67</v>
      </c>
      <c r="J221">
        <v>3115.002</v>
      </c>
      <c r="K221">
        <v>11.99</v>
      </c>
      <c r="L221">
        <v>240</v>
      </c>
      <c r="M221" t="s">
        <v>33</v>
      </c>
      <c r="N221">
        <v>433</v>
      </c>
    </row>
    <row r="222" spans="1:14" x14ac:dyDescent="0.3">
      <c r="A222">
        <v>1982</v>
      </c>
      <c r="B222" t="s">
        <v>430</v>
      </c>
      <c r="C222" t="s">
        <v>164</v>
      </c>
      <c r="D222" t="s">
        <v>22</v>
      </c>
      <c r="E222" t="s">
        <v>23</v>
      </c>
      <c r="F222">
        <v>4.1900000000000004</v>
      </c>
      <c r="G222">
        <v>131562</v>
      </c>
      <c r="H222" t="s">
        <v>18</v>
      </c>
      <c r="I222">
        <v>2593.67</v>
      </c>
      <c r="J222">
        <v>1556.202</v>
      </c>
      <c r="K222">
        <v>5.99</v>
      </c>
      <c r="L222">
        <v>240</v>
      </c>
      <c r="M222" t="s">
        <v>30</v>
      </c>
      <c r="N222">
        <v>433</v>
      </c>
    </row>
    <row r="223" spans="1:14" x14ac:dyDescent="0.3">
      <c r="A223">
        <v>2013</v>
      </c>
      <c r="B223" t="s">
        <v>431</v>
      </c>
      <c r="C223" t="s">
        <v>432</v>
      </c>
      <c r="D223" t="s">
        <v>144</v>
      </c>
      <c r="E223" t="s">
        <v>52</v>
      </c>
      <c r="F223">
        <v>4.49</v>
      </c>
      <c r="G223">
        <v>160485</v>
      </c>
      <c r="H223" t="s">
        <v>18</v>
      </c>
      <c r="I223">
        <v>426.69</v>
      </c>
      <c r="J223">
        <v>256.01400000000001</v>
      </c>
      <c r="K223">
        <v>0.99</v>
      </c>
      <c r="L223">
        <v>241</v>
      </c>
      <c r="M223" t="s">
        <v>26</v>
      </c>
      <c r="N223">
        <v>431</v>
      </c>
    </row>
    <row r="224" spans="1:14" x14ac:dyDescent="0.3">
      <c r="A224">
        <v>2004</v>
      </c>
      <c r="B224" t="s">
        <v>433</v>
      </c>
      <c r="C224" t="s">
        <v>434</v>
      </c>
      <c r="D224" t="s">
        <v>22</v>
      </c>
      <c r="E224" t="s">
        <v>23</v>
      </c>
      <c r="F224">
        <v>4.18</v>
      </c>
      <c r="G224">
        <v>126864</v>
      </c>
      <c r="H224" t="s">
        <v>18</v>
      </c>
      <c r="I224">
        <v>425.7</v>
      </c>
      <c r="J224">
        <v>255.42</v>
      </c>
      <c r="K224">
        <v>0.99</v>
      </c>
      <c r="L224">
        <v>242</v>
      </c>
      <c r="M224" t="s">
        <v>45</v>
      </c>
      <c r="N224">
        <v>430</v>
      </c>
    </row>
    <row r="225" spans="1:14" x14ac:dyDescent="0.3">
      <c r="A225">
        <v>2008</v>
      </c>
      <c r="B225" t="s">
        <v>435</v>
      </c>
      <c r="C225" t="s">
        <v>436</v>
      </c>
      <c r="D225" t="s">
        <v>22</v>
      </c>
      <c r="E225" t="s">
        <v>23</v>
      </c>
      <c r="F225">
        <v>4.05</v>
      </c>
      <c r="G225">
        <v>110597</v>
      </c>
      <c r="H225" t="s">
        <v>18</v>
      </c>
      <c r="I225">
        <v>5107.74</v>
      </c>
      <c r="J225">
        <v>3064.6439999999998</v>
      </c>
      <c r="K225">
        <v>11.99</v>
      </c>
      <c r="L225">
        <v>244</v>
      </c>
      <c r="M225" t="s">
        <v>33</v>
      </c>
      <c r="N225">
        <v>426</v>
      </c>
    </row>
    <row r="226" spans="1:14" x14ac:dyDescent="0.3">
      <c r="A226">
        <v>1987</v>
      </c>
      <c r="B226" t="s">
        <v>437</v>
      </c>
      <c r="C226" t="s">
        <v>438</v>
      </c>
      <c r="D226" t="s">
        <v>22</v>
      </c>
      <c r="E226" t="s">
        <v>23</v>
      </c>
      <c r="F226">
        <v>4.22</v>
      </c>
      <c r="G226">
        <v>128450</v>
      </c>
      <c r="H226" t="s">
        <v>18</v>
      </c>
      <c r="I226">
        <v>3821.22</v>
      </c>
      <c r="J226">
        <v>2292.732</v>
      </c>
      <c r="K226">
        <v>8.9700000000000006</v>
      </c>
      <c r="L226">
        <v>244</v>
      </c>
      <c r="M226" t="s">
        <v>26</v>
      </c>
      <c r="N226">
        <v>426</v>
      </c>
    </row>
    <row r="227" spans="1:14" x14ac:dyDescent="0.3">
      <c r="A227">
        <v>2010</v>
      </c>
      <c r="B227" t="s">
        <v>439</v>
      </c>
      <c r="C227" t="s">
        <v>440</v>
      </c>
      <c r="D227" t="s">
        <v>22</v>
      </c>
      <c r="E227" t="s">
        <v>23</v>
      </c>
      <c r="F227">
        <v>3.92</v>
      </c>
      <c r="G227">
        <v>158063</v>
      </c>
      <c r="H227" t="s">
        <v>18</v>
      </c>
      <c r="I227">
        <v>420.75</v>
      </c>
      <c r="J227">
        <v>252.45</v>
      </c>
      <c r="K227">
        <v>0.99</v>
      </c>
      <c r="L227">
        <v>245</v>
      </c>
      <c r="M227" t="s">
        <v>133</v>
      </c>
      <c r="N227">
        <v>425</v>
      </c>
    </row>
    <row r="228" spans="1:14" x14ac:dyDescent="0.3">
      <c r="A228">
        <v>1985</v>
      </c>
      <c r="B228" t="s">
        <v>441</v>
      </c>
      <c r="C228" t="s">
        <v>442</v>
      </c>
      <c r="D228" t="s">
        <v>16</v>
      </c>
      <c r="E228" t="s">
        <v>52</v>
      </c>
      <c r="F228">
        <v>4.47</v>
      </c>
      <c r="G228">
        <v>111498</v>
      </c>
      <c r="H228" t="s">
        <v>18</v>
      </c>
      <c r="I228">
        <v>1687.77</v>
      </c>
      <c r="J228">
        <v>0</v>
      </c>
      <c r="K228">
        <v>3.99</v>
      </c>
      <c r="L228">
        <v>246</v>
      </c>
      <c r="M228" t="s">
        <v>26</v>
      </c>
      <c r="N228">
        <v>423</v>
      </c>
    </row>
    <row r="229" spans="1:14" x14ac:dyDescent="0.3">
      <c r="A229">
        <v>2003</v>
      </c>
      <c r="B229" t="s">
        <v>443</v>
      </c>
      <c r="C229" t="s">
        <v>444</v>
      </c>
      <c r="D229" t="s">
        <v>22</v>
      </c>
      <c r="E229" t="s">
        <v>23</v>
      </c>
      <c r="F229">
        <v>4.05</v>
      </c>
      <c r="G229">
        <v>122502</v>
      </c>
      <c r="H229" t="s">
        <v>40</v>
      </c>
      <c r="I229">
        <v>4473</v>
      </c>
      <c r="J229">
        <v>2683.8</v>
      </c>
      <c r="K229">
        <v>10.65</v>
      </c>
      <c r="L229">
        <v>248</v>
      </c>
      <c r="M229" t="s">
        <v>45</v>
      </c>
      <c r="N229">
        <v>420</v>
      </c>
    </row>
    <row r="230" spans="1:14" x14ac:dyDescent="0.3">
      <c r="A230">
        <v>2011</v>
      </c>
      <c r="B230" t="s">
        <v>445</v>
      </c>
      <c r="C230" t="s">
        <v>51</v>
      </c>
      <c r="D230" t="s">
        <v>16</v>
      </c>
      <c r="E230" t="s">
        <v>23</v>
      </c>
      <c r="F230">
        <v>4.22</v>
      </c>
      <c r="G230">
        <v>140599</v>
      </c>
      <c r="H230" t="s">
        <v>18</v>
      </c>
      <c r="I230">
        <v>413.82</v>
      </c>
      <c r="J230">
        <v>248.292</v>
      </c>
      <c r="K230">
        <v>0.99</v>
      </c>
      <c r="L230">
        <v>249</v>
      </c>
      <c r="M230" t="s">
        <v>133</v>
      </c>
      <c r="N230">
        <v>418</v>
      </c>
    </row>
    <row r="231" spans="1:14" x14ac:dyDescent="0.3">
      <c r="A231">
        <v>1998</v>
      </c>
      <c r="B231" t="s">
        <v>446</v>
      </c>
      <c r="C231" t="s">
        <v>447</v>
      </c>
      <c r="D231" t="s">
        <v>22</v>
      </c>
      <c r="E231" t="s">
        <v>23</v>
      </c>
      <c r="F231">
        <v>4.3</v>
      </c>
      <c r="G231">
        <v>115521</v>
      </c>
      <c r="H231" t="s">
        <v>40</v>
      </c>
      <c r="I231">
        <v>411.84</v>
      </c>
      <c r="J231">
        <v>0</v>
      </c>
      <c r="K231">
        <v>0.99</v>
      </c>
      <c r="L231">
        <v>250</v>
      </c>
      <c r="M231" t="s">
        <v>26</v>
      </c>
      <c r="N231">
        <v>416</v>
      </c>
    </row>
    <row r="232" spans="1:14" x14ac:dyDescent="0.3">
      <c r="A232">
        <v>2009</v>
      </c>
      <c r="B232" t="s">
        <v>448</v>
      </c>
      <c r="C232" t="s">
        <v>226</v>
      </c>
      <c r="D232" t="s">
        <v>22</v>
      </c>
      <c r="E232" t="s">
        <v>23</v>
      </c>
      <c r="F232">
        <v>3.82</v>
      </c>
      <c r="G232">
        <v>119105</v>
      </c>
      <c r="H232" t="s">
        <v>18</v>
      </c>
      <c r="I232">
        <v>2070.85</v>
      </c>
      <c r="J232">
        <v>1242.51</v>
      </c>
      <c r="K232">
        <v>4.99</v>
      </c>
      <c r="L232">
        <v>251</v>
      </c>
      <c r="M232" t="s">
        <v>45</v>
      </c>
      <c r="N232">
        <v>415</v>
      </c>
    </row>
    <row r="233" spans="1:14" x14ac:dyDescent="0.3">
      <c r="A233">
        <v>1982</v>
      </c>
      <c r="B233" t="s">
        <v>449</v>
      </c>
      <c r="C233" t="s">
        <v>450</v>
      </c>
      <c r="D233" t="s">
        <v>22</v>
      </c>
      <c r="E233" t="s">
        <v>23</v>
      </c>
      <c r="F233">
        <v>4.34</v>
      </c>
      <c r="G233">
        <v>108338</v>
      </c>
      <c r="H233" t="s">
        <v>18</v>
      </c>
      <c r="I233">
        <v>2537.9</v>
      </c>
      <c r="J233">
        <v>1522.74</v>
      </c>
      <c r="K233">
        <v>6.19</v>
      </c>
      <c r="L233">
        <v>254</v>
      </c>
      <c r="M233" t="s">
        <v>26</v>
      </c>
      <c r="N233">
        <v>410</v>
      </c>
    </row>
    <row r="234" spans="1:14" x14ac:dyDescent="0.3">
      <c r="A234">
        <v>1970</v>
      </c>
      <c r="B234" t="s">
        <v>451</v>
      </c>
      <c r="C234" t="s">
        <v>452</v>
      </c>
      <c r="D234" t="s">
        <v>22</v>
      </c>
      <c r="E234" t="s">
        <v>23</v>
      </c>
      <c r="F234">
        <v>3.99</v>
      </c>
      <c r="G234">
        <v>109944</v>
      </c>
      <c r="H234" t="s">
        <v>18</v>
      </c>
      <c r="I234">
        <v>1219.92</v>
      </c>
      <c r="J234">
        <v>0</v>
      </c>
      <c r="K234">
        <v>2.99</v>
      </c>
      <c r="L234">
        <v>255</v>
      </c>
      <c r="M234" t="s">
        <v>26</v>
      </c>
      <c r="N234">
        <v>408</v>
      </c>
    </row>
    <row r="235" spans="1:14" x14ac:dyDescent="0.3">
      <c r="A235">
        <v>2009</v>
      </c>
      <c r="B235" t="s">
        <v>453</v>
      </c>
      <c r="C235" t="s">
        <v>340</v>
      </c>
      <c r="D235" t="s">
        <v>22</v>
      </c>
      <c r="E235" t="s">
        <v>23</v>
      </c>
      <c r="F235">
        <v>3.9</v>
      </c>
      <c r="G235">
        <v>119739</v>
      </c>
      <c r="H235" t="s">
        <v>18</v>
      </c>
      <c r="I235">
        <v>1685.04</v>
      </c>
      <c r="J235">
        <v>1011.024</v>
      </c>
      <c r="K235">
        <v>4.13</v>
      </c>
      <c r="L235">
        <v>255</v>
      </c>
      <c r="M235" t="s">
        <v>26</v>
      </c>
      <c r="N235">
        <v>408</v>
      </c>
    </row>
    <row r="236" spans="1:14" x14ac:dyDescent="0.3">
      <c r="A236">
        <v>1965</v>
      </c>
      <c r="B236" t="s">
        <v>454</v>
      </c>
      <c r="C236" t="s">
        <v>455</v>
      </c>
      <c r="D236" t="s">
        <v>22</v>
      </c>
      <c r="E236" t="s">
        <v>23</v>
      </c>
      <c r="F236">
        <v>4.29</v>
      </c>
      <c r="G236">
        <v>124805</v>
      </c>
      <c r="H236" t="s">
        <v>40</v>
      </c>
      <c r="I236">
        <v>2025.94</v>
      </c>
      <c r="J236">
        <v>1215.5640000000001</v>
      </c>
      <c r="K236">
        <v>4.99</v>
      </c>
      <c r="L236">
        <v>256</v>
      </c>
      <c r="M236" t="s">
        <v>45</v>
      </c>
      <c r="N236">
        <v>406</v>
      </c>
    </row>
    <row r="237" spans="1:14" x14ac:dyDescent="0.3">
      <c r="A237">
        <v>1989</v>
      </c>
      <c r="B237" t="s">
        <v>456</v>
      </c>
      <c r="C237" t="s">
        <v>457</v>
      </c>
      <c r="D237" t="s">
        <v>22</v>
      </c>
      <c r="E237" t="s">
        <v>23</v>
      </c>
      <c r="F237">
        <v>4.3</v>
      </c>
      <c r="G237">
        <v>122540</v>
      </c>
      <c r="H237" t="s">
        <v>40</v>
      </c>
      <c r="I237">
        <v>2251.8000000000002</v>
      </c>
      <c r="J237">
        <v>1351.08</v>
      </c>
      <c r="K237">
        <v>5.56</v>
      </c>
      <c r="L237">
        <v>257</v>
      </c>
      <c r="M237" t="s">
        <v>26</v>
      </c>
      <c r="N237">
        <v>405</v>
      </c>
    </row>
    <row r="238" spans="1:14" x14ac:dyDescent="0.3">
      <c r="A238">
        <v>1999</v>
      </c>
      <c r="B238" t="s">
        <v>458</v>
      </c>
      <c r="C238" t="s">
        <v>459</v>
      </c>
      <c r="D238" t="s">
        <v>16</v>
      </c>
      <c r="E238" t="s">
        <v>23</v>
      </c>
      <c r="F238">
        <v>4.2</v>
      </c>
      <c r="G238">
        <v>111497</v>
      </c>
      <c r="H238" t="s">
        <v>18</v>
      </c>
      <c r="I238">
        <v>1007.5</v>
      </c>
      <c r="J238">
        <v>604.5</v>
      </c>
      <c r="K238">
        <v>2.5</v>
      </c>
      <c r="L238">
        <v>258</v>
      </c>
      <c r="M238" t="s">
        <v>19</v>
      </c>
      <c r="N238">
        <v>403</v>
      </c>
    </row>
    <row r="239" spans="1:14" x14ac:dyDescent="0.3">
      <c r="A239">
        <v>2003</v>
      </c>
      <c r="B239" t="s">
        <v>460</v>
      </c>
      <c r="C239" t="s">
        <v>461</v>
      </c>
      <c r="D239" t="s">
        <v>22</v>
      </c>
      <c r="E239" t="s">
        <v>23</v>
      </c>
      <c r="F239">
        <v>4.07</v>
      </c>
      <c r="G239">
        <v>113718</v>
      </c>
      <c r="H239" t="s">
        <v>18</v>
      </c>
      <c r="I239">
        <v>4270.6499999999996</v>
      </c>
      <c r="J239">
        <v>2562.39</v>
      </c>
      <c r="K239">
        <v>10.65</v>
      </c>
      <c r="L239">
        <v>259</v>
      </c>
      <c r="M239" t="s">
        <v>33</v>
      </c>
      <c r="N239">
        <v>401</v>
      </c>
    </row>
    <row r="240" spans="1:14" x14ac:dyDescent="0.3">
      <c r="A240">
        <v>1894</v>
      </c>
      <c r="B240" t="s">
        <v>462</v>
      </c>
      <c r="C240" t="s">
        <v>463</v>
      </c>
      <c r="D240" t="s">
        <v>22</v>
      </c>
      <c r="E240" t="s">
        <v>52</v>
      </c>
      <c r="F240">
        <v>4.5</v>
      </c>
      <c r="G240">
        <v>109754</v>
      </c>
      <c r="H240" t="s">
        <v>18</v>
      </c>
      <c r="I240">
        <v>3180.02</v>
      </c>
      <c r="J240">
        <v>1908.0119999999999</v>
      </c>
      <c r="K240">
        <v>7.99</v>
      </c>
      <c r="L240">
        <v>261</v>
      </c>
      <c r="M240" t="s">
        <v>33</v>
      </c>
      <c r="N240">
        <v>398</v>
      </c>
    </row>
    <row r="241" spans="1:14" x14ac:dyDescent="0.3">
      <c r="A241">
        <v>1599</v>
      </c>
      <c r="B241" t="s">
        <v>464</v>
      </c>
      <c r="C241" t="s">
        <v>465</v>
      </c>
      <c r="D241" t="s">
        <v>22</v>
      </c>
      <c r="E241" t="s">
        <v>23</v>
      </c>
      <c r="F241">
        <v>3.65</v>
      </c>
      <c r="G241">
        <v>119933</v>
      </c>
      <c r="H241" t="s">
        <v>18</v>
      </c>
      <c r="I241">
        <v>392.04</v>
      </c>
      <c r="J241">
        <v>235.22399999999999</v>
      </c>
      <c r="K241">
        <v>0.99</v>
      </c>
      <c r="L241">
        <v>262</v>
      </c>
      <c r="M241" t="s">
        <v>26</v>
      </c>
      <c r="N241">
        <v>396</v>
      </c>
    </row>
    <row r="242" spans="1:14" x14ac:dyDescent="0.3">
      <c r="A242">
        <v>2011</v>
      </c>
      <c r="B242" t="s">
        <v>466</v>
      </c>
      <c r="C242" t="s">
        <v>467</v>
      </c>
      <c r="D242" t="s">
        <v>22</v>
      </c>
      <c r="E242" t="s">
        <v>23</v>
      </c>
      <c r="F242">
        <v>3.81</v>
      </c>
      <c r="G242">
        <v>110481</v>
      </c>
      <c r="H242" t="s">
        <v>18</v>
      </c>
      <c r="I242">
        <v>392.04</v>
      </c>
      <c r="J242">
        <v>235.22399999999999</v>
      </c>
      <c r="K242">
        <v>0.99</v>
      </c>
      <c r="L242">
        <v>262</v>
      </c>
      <c r="M242" t="s">
        <v>26</v>
      </c>
      <c r="N242">
        <v>396</v>
      </c>
    </row>
    <row r="243" spans="1:14" x14ac:dyDescent="0.3">
      <c r="A243">
        <v>-380</v>
      </c>
      <c r="B243" t="s">
        <v>468</v>
      </c>
      <c r="C243" t="s">
        <v>469</v>
      </c>
      <c r="D243" t="s">
        <v>22</v>
      </c>
      <c r="E243" t="s">
        <v>23</v>
      </c>
      <c r="F243">
        <v>3.9</v>
      </c>
      <c r="G243">
        <v>110274</v>
      </c>
      <c r="H243" t="s">
        <v>18</v>
      </c>
      <c r="I243">
        <v>387.09</v>
      </c>
      <c r="J243">
        <v>232.25399999999999</v>
      </c>
      <c r="K243">
        <v>0.99</v>
      </c>
      <c r="L243">
        <v>265</v>
      </c>
      <c r="M243" t="s">
        <v>26</v>
      </c>
      <c r="N243">
        <v>391</v>
      </c>
    </row>
    <row r="244" spans="1:14" x14ac:dyDescent="0.3">
      <c r="A244">
        <v>1593</v>
      </c>
      <c r="B244" t="s">
        <v>470</v>
      </c>
      <c r="C244" t="s">
        <v>365</v>
      </c>
      <c r="D244" t="s">
        <v>16</v>
      </c>
      <c r="E244" t="s">
        <v>23</v>
      </c>
      <c r="F244">
        <v>3.81</v>
      </c>
      <c r="G244">
        <v>126318</v>
      </c>
      <c r="H244" t="s">
        <v>40</v>
      </c>
      <c r="I244">
        <v>2726.1</v>
      </c>
      <c r="J244">
        <v>1635.66</v>
      </c>
      <c r="K244">
        <v>6.99</v>
      </c>
      <c r="L244">
        <v>266</v>
      </c>
      <c r="M244" t="s">
        <v>30</v>
      </c>
      <c r="N244">
        <v>390</v>
      </c>
    </row>
    <row r="245" spans="1:14" x14ac:dyDescent="0.3">
      <c r="A245">
        <v>2014</v>
      </c>
      <c r="B245" t="s">
        <v>471</v>
      </c>
      <c r="C245" t="s">
        <v>126</v>
      </c>
      <c r="D245" t="s">
        <v>22</v>
      </c>
      <c r="E245" t="s">
        <v>52</v>
      </c>
      <c r="F245">
        <v>4.46</v>
      </c>
      <c r="G245">
        <v>162069</v>
      </c>
      <c r="H245" t="s">
        <v>40</v>
      </c>
      <c r="I245">
        <v>1154.1400000000001</v>
      </c>
      <c r="J245">
        <v>692.48400000000004</v>
      </c>
      <c r="K245">
        <v>2.99</v>
      </c>
      <c r="L245">
        <v>268</v>
      </c>
      <c r="M245" t="s">
        <v>133</v>
      </c>
      <c r="N245">
        <v>386</v>
      </c>
    </row>
    <row r="246" spans="1:14" x14ac:dyDescent="0.3">
      <c r="A246">
        <v>2010</v>
      </c>
      <c r="B246" t="s">
        <v>472</v>
      </c>
      <c r="C246" t="s">
        <v>473</v>
      </c>
      <c r="D246" t="s">
        <v>16</v>
      </c>
      <c r="E246" t="s">
        <v>23</v>
      </c>
      <c r="F246">
        <v>4.1399999999999997</v>
      </c>
      <c r="G246">
        <v>106542</v>
      </c>
      <c r="H246" t="s">
        <v>18</v>
      </c>
      <c r="I246">
        <v>766.15</v>
      </c>
      <c r="J246">
        <v>459.69</v>
      </c>
      <c r="K246">
        <v>1.99</v>
      </c>
      <c r="L246">
        <v>269</v>
      </c>
      <c r="M246" t="s">
        <v>45</v>
      </c>
      <c r="N246">
        <v>385</v>
      </c>
    </row>
    <row r="247" spans="1:14" x14ac:dyDescent="0.3">
      <c r="A247">
        <v>1997</v>
      </c>
      <c r="B247" t="s">
        <v>474</v>
      </c>
      <c r="C247" t="s">
        <v>475</v>
      </c>
      <c r="D247" t="s">
        <v>22</v>
      </c>
      <c r="E247" t="s">
        <v>23</v>
      </c>
      <c r="F247">
        <v>3.79</v>
      </c>
      <c r="G247">
        <v>102746</v>
      </c>
      <c r="H247" t="s">
        <v>18</v>
      </c>
      <c r="I247">
        <v>3060.17</v>
      </c>
      <c r="J247">
        <v>1836.1020000000001</v>
      </c>
      <c r="K247">
        <v>7.99</v>
      </c>
      <c r="L247">
        <v>270</v>
      </c>
      <c r="M247" t="s">
        <v>33</v>
      </c>
      <c r="N247">
        <v>383</v>
      </c>
    </row>
    <row r="248" spans="1:14" x14ac:dyDescent="0.3">
      <c r="A248">
        <v>2001</v>
      </c>
      <c r="B248" t="s">
        <v>474</v>
      </c>
      <c r="C248" t="s">
        <v>476</v>
      </c>
      <c r="D248" t="s">
        <v>16</v>
      </c>
      <c r="E248" t="s">
        <v>23</v>
      </c>
      <c r="F248">
        <v>3.62</v>
      </c>
      <c r="G248">
        <v>101436</v>
      </c>
      <c r="H248" t="s">
        <v>18</v>
      </c>
      <c r="I248">
        <v>758.19</v>
      </c>
      <c r="J248">
        <v>0</v>
      </c>
      <c r="K248">
        <v>1.99</v>
      </c>
      <c r="L248">
        <v>271</v>
      </c>
      <c r="M248" t="s">
        <v>26</v>
      </c>
      <c r="N248">
        <v>381</v>
      </c>
    </row>
    <row r="249" spans="1:14" x14ac:dyDescent="0.3">
      <c r="A249">
        <v>1831</v>
      </c>
      <c r="B249" t="s">
        <v>477</v>
      </c>
      <c r="C249" t="s">
        <v>478</v>
      </c>
      <c r="D249" t="s">
        <v>22</v>
      </c>
      <c r="E249" t="s">
        <v>23</v>
      </c>
      <c r="F249">
        <v>3.97</v>
      </c>
      <c r="G249">
        <v>119851</v>
      </c>
      <c r="H249" t="s">
        <v>40</v>
      </c>
      <c r="I249">
        <v>3013.71</v>
      </c>
      <c r="J249">
        <v>1808.2260000000001</v>
      </c>
      <c r="K249">
        <v>7.91</v>
      </c>
      <c r="L249">
        <v>271</v>
      </c>
      <c r="M249" t="s">
        <v>26</v>
      </c>
      <c r="N249">
        <v>381</v>
      </c>
    </row>
    <row r="250" spans="1:14" x14ac:dyDescent="0.3">
      <c r="A250">
        <v>1996</v>
      </c>
      <c r="B250" t="s">
        <v>479</v>
      </c>
      <c r="C250" t="s">
        <v>480</v>
      </c>
      <c r="D250" t="s">
        <v>22</v>
      </c>
      <c r="E250" t="s">
        <v>23</v>
      </c>
      <c r="F250">
        <v>4.34</v>
      </c>
      <c r="G250">
        <v>99252</v>
      </c>
      <c r="H250" t="s">
        <v>18</v>
      </c>
      <c r="I250">
        <v>1136.2</v>
      </c>
      <c r="J250">
        <v>681.72</v>
      </c>
      <c r="K250">
        <v>2.99</v>
      </c>
      <c r="L250">
        <v>272</v>
      </c>
      <c r="M250" t="s">
        <v>65</v>
      </c>
      <c r="N250">
        <v>380</v>
      </c>
    </row>
    <row r="251" spans="1:14" x14ac:dyDescent="0.3">
      <c r="A251">
        <v>1987</v>
      </c>
      <c r="B251" t="s">
        <v>481</v>
      </c>
      <c r="C251" t="s">
        <v>482</v>
      </c>
      <c r="D251" t="s">
        <v>16</v>
      </c>
      <c r="E251" t="s">
        <v>52</v>
      </c>
      <c r="F251">
        <v>4.6100000000000003</v>
      </c>
      <c r="G251">
        <v>117788</v>
      </c>
      <c r="H251" t="s">
        <v>40</v>
      </c>
      <c r="I251">
        <v>1886.22</v>
      </c>
      <c r="J251">
        <v>1131.732</v>
      </c>
      <c r="K251">
        <v>4.99</v>
      </c>
      <c r="L251">
        <v>273</v>
      </c>
      <c r="M251" t="s">
        <v>33</v>
      </c>
      <c r="N251">
        <v>378</v>
      </c>
    </row>
    <row r="252" spans="1:14" x14ac:dyDescent="0.3">
      <c r="A252">
        <v>2006</v>
      </c>
      <c r="B252" t="s">
        <v>483</v>
      </c>
      <c r="C252" t="s">
        <v>484</v>
      </c>
      <c r="D252" t="s">
        <v>22</v>
      </c>
      <c r="E252" t="s">
        <v>23</v>
      </c>
      <c r="F252">
        <v>3.77</v>
      </c>
      <c r="G252">
        <v>139168</v>
      </c>
      <c r="H252" t="s">
        <v>18</v>
      </c>
      <c r="I252">
        <v>1124.24</v>
      </c>
      <c r="J252">
        <v>674.54399999999998</v>
      </c>
      <c r="K252">
        <v>2.99</v>
      </c>
      <c r="L252">
        <v>274</v>
      </c>
      <c r="M252" t="s">
        <v>26</v>
      </c>
      <c r="N252">
        <v>376</v>
      </c>
    </row>
    <row r="253" spans="1:14" x14ac:dyDescent="0.3">
      <c r="A253">
        <v>1899</v>
      </c>
      <c r="B253" t="s">
        <v>485</v>
      </c>
      <c r="C253" t="s">
        <v>486</v>
      </c>
      <c r="D253" t="s">
        <v>22</v>
      </c>
      <c r="E253" t="s">
        <v>23</v>
      </c>
      <c r="F253">
        <v>3.63</v>
      </c>
      <c r="G253">
        <v>125474</v>
      </c>
      <c r="H253" t="s">
        <v>18</v>
      </c>
      <c r="I253">
        <v>371.25</v>
      </c>
      <c r="J253">
        <v>0</v>
      </c>
      <c r="K253">
        <v>0.99</v>
      </c>
      <c r="L253">
        <v>275</v>
      </c>
      <c r="M253" t="s">
        <v>26</v>
      </c>
      <c r="N253">
        <v>375</v>
      </c>
    </row>
    <row r="254" spans="1:14" x14ac:dyDescent="0.3">
      <c r="A254">
        <v>2009</v>
      </c>
      <c r="B254" t="s">
        <v>487</v>
      </c>
      <c r="C254" t="s">
        <v>241</v>
      </c>
      <c r="D254" t="s">
        <v>22</v>
      </c>
      <c r="E254" t="s">
        <v>23</v>
      </c>
      <c r="F254">
        <v>3.93</v>
      </c>
      <c r="G254">
        <v>138103</v>
      </c>
      <c r="H254" t="s">
        <v>18</v>
      </c>
      <c r="I254">
        <v>1871.25</v>
      </c>
      <c r="J254">
        <v>1122.75</v>
      </c>
      <c r="K254">
        <v>4.99</v>
      </c>
      <c r="L254">
        <v>275</v>
      </c>
      <c r="M254" t="s">
        <v>45</v>
      </c>
      <c r="N254">
        <v>375</v>
      </c>
    </row>
    <row r="255" spans="1:14" x14ac:dyDescent="0.3">
      <c r="A255">
        <v>2006</v>
      </c>
      <c r="B255" t="s">
        <v>488</v>
      </c>
      <c r="C255" t="s">
        <v>489</v>
      </c>
      <c r="D255" t="s">
        <v>16</v>
      </c>
      <c r="E255" t="s">
        <v>23</v>
      </c>
      <c r="F255">
        <v>4.09</v>
      </c>
      <c r="G255">
        <v>102193</v>
      </c>
      <c r="H255" t="s">
        <v>18</v>
      </c>
      <c r="I255">
        <v>1488.27</v>
      </c>
      <c r="J255">
        <v>0</v>
      </c>
      <c r="K255">
        <v>3.99</v>
      </c>
      <c r="L255">
        <v>276</v>
      </c>
      <c r="M255" t="s">
        <v>26</v>
      </c>
      <c r="N255">
        <v>373</v>
      </c>
    </row>
    <row r="256" spans="1:14" x14ac:dyDescent="0.3">
      <c r="A256">
        <v>1989</v>
      </c>
      <c r="B256" t="s">
        <v>490</v>
      </c>
      <c r="C256" t="s">
        <v>215</v>
      </c>
      <c r="D256" t="s">
        <v>22</v>
      </c>
      <c r="E256" t="s">
        <v>23</v>
      </c>
      <c r="F256">
        <v>4.08</v>
      </c>
      <c r="G256">
        <v>105317</v>
      </c>
      <c r="H256" t="s">
        <v>18</v>
      </c>
      <c r="I256">
        <v>1115.27</v>
      </c>
      <c r="J256">
        <v>669.16200000000003</v>
      </c>
      <c r="K256">
        <v>2.99</v>
      </c>
      <c r="L256">
        <v>276</v>
      </c>
      <c r="M256" t="s">
        <v>30</v>
      </c>
      <c r="N256">
        <v>373</v>
      </c>
    </row>
    <row r="257" spans="1:14" x14ac:dyDescent="0.3">
      <c r="A257">
        <v>1996</v>
      </c>
      <c r="B257" t="s">
        <v>491</v>
      </c>
      <c r="C257" t="s">
        <v>492</v>
      </c>
      <c r="D257" t="s">
        <v>16</v>
      </c>
      <c r="E257" t="s">
        <v>23</v>
      </c>
      <c r="F257">
        <v>4.33</v>
      </c>
      <c r="G257">
        <v>111779</v>
      </c>
      <c r="H257" t="s">
        <v>18</v>
      </c>
      <c r="I257">
        <v>366.3</v>
      </c>
      <c r="J257">
        <v>0</v>
      </c>
      <c r="K257">
        <v>0.99</v>
      </c>
      <c r="L257">
        <v>278</v>
      </c>
      <c r="M257" t="s">
        <v>26</v>
      </c>
      <c r="N257">
        <v>370</v>
      </c>
    </row>
    <row r="258" spans="1:14" x14ac:dyDescent="0.3">
      <c r="A258">
        <v>2010</v>
      </c>
      <c r="B258" t="s">
        <v>493</v>
      </c>
      <c r="C258" t="s">
        <v>494</v>
      </c>
      <c r="D258" t="s">
        <v>120</v>
      </c>
      <c r="E258" t="s">
        <v>23</v>
      </c>
      <c r="F258">
        <v>3.98</v>
      </c>
      <c r="G258">
        <v>102560</v>
      </c>
      <c r="H258" t="s">
        <v>40</v>
      </c>
      <c r="I258">
        <v>2775</v>
      </c>
      <c r="J258">
        <v>1665</v>
      </c>
      <c r="K258">
        <v>7.5</v>
      </c>
      <c r="L258">
        <v>278</v>
      </c>
      <c r="M258" t="s">
        <v>30</v>
      </c>
      <c r="N258">
        <v>370</v>
      </c>
    </row>
    <row r="259" spans="1:14" x14ac:dyDescent="0.3">
      <c r="A259">
        <v>1993</v>
      </c>
      <c r="B259" t="s">
        <v>495</v>
      </c>
      <c r="C259" t="s">
        <v>496</v>
      </c>
      <c r="D259" t="s">
        <v>120</v>
      </c>
      <c r="E259" t="s">
        <v>23</v>
      </c>
      <c r="F259">
        <v>4.07</v>
      </c>
      <c r="G259">
        <v>59453</v>
      </c>
      <c r="H259" t="s">
        <v>18</v>
      </c>
      <c r="I259">
        <v>1100.32</v>
      </c>
      <c r="J259">
        <v>660.19200000000001</v>
      </c>
      <c r="K259">
        <v>2.99</v>
      </c>
      <c r="L259">
        <v>279</v>
      </c>
      <c r="M259" t="s">
        <v>45</v>
      </c>
      <c r="N259">
        <v>368</v>
      </c>
    </row>
    <row r="260" spans="1:14" x14ac:dyDescent="0.3">
      <c r="A260">
        <v>1952</v>
      </c>
      <c r="B260" t="s">
        <v>497</v>
      </c>
      <c r="C260" t="s">
        <v>498</v>
      </c>
      <c r="D260" t="s">
        <v>22</v>
      </c>
      <c r="E260" t="s">
        <v>23</v>
      </c>
      <c r="F260">
        <v>4.2</v>
      </c>
      <c r="G260">
        <v>105595</v>
      </c>
      <c r="H260" t="s">
        <v>18</v>
      </c>
      <c r="I260">
        <v>1094.3399999999999</v>
      </c>
      <c r="J260">
        <v>0</v>
      </c>
      <c r="K260">
        <v>2.99</v>
      </c>
      <c r="L260">
        <v>280</v>
      </c>
      <c r="M260" t="s">
        <v>26</v>
      </c>
      <c r="N260">
        <v>366</v>
      </c>
    </row>
    <row r="261" spans="1:14" x14ac:dyDescent="0.3">
      <c r="A261">
        <v>1997</v>
      </c>
      <c r="B261" t="s">
        <v>499</v>
      </c>
      <c r="C261" t="s">
        <v>500</v>
      </c>
      <c r="D261" t="s">
        <v>16</v>
      </c>
      <c r="E261" t="s">
        <v>23</v>
      </c>
      <c r="F261">
        <v>4.12</v>
      </c>
      <c r="G261">
        <v>97016</v>
      </c>
      <c r="H261" t="s">
        <v>18</v>
      </c>
      <c r="I261">
        <v>4388.34</v>
      </c>
      <c r="J261">
        <v>2633.0039999999999</v>
      </c>
      <c r="K261">
        <v>11.99</v>
      </c>
      <c r="L261">
        <v>280</v>
      </c>
      <c r="M261" t="s">
        <v>33</v>
      </c>
      <c r="N261">
        <v>366</v>
      </c>
    </row>
    <row r="262" spans="1:14" x14ac:dyDescent="0.3">
      <c r="A262">
        <v>2010</v>
      </c>
      <c r="B262" t="s">
        <v>501</v>
      </c>
      <c r="C262" t="s">
        <v>194</v>
      </c>
      <c r="D262" t="s">
        <v>16</v>
      </c>
      <c r="E262" t="s">
        <v>23</v>
      </c>
      <c r="F262">
        <v>4.01</v>
      </c>
      <c r="G262">
        <v>111239</v>
      </c>
      <c r="H262" t="s">
        <v>40</v>
      </c>
      <c r="I262">
        <v>4084.35</v>
      </c>
      <c r="J262">
        <v>2450.61</v>
      </c>
      <c r="K262">
        <v>11.19</v>
      </c>
      <c r="L262">
        <v>281</v>
      </c>
      <c r="M262" t="s">
        <v>19</v>
      </c>
      <c r="N262">
        <v>365</v>
      </c>
    </row>
    <row r="263" spans="1:14" x14ac:dyDescent="0.3">
      <c r="A263">
        <v>1812</v>
      </c>
      <c r="B263" t="s">
        <v>502</v>
      </c>
      <c r="C263" t="s">
        <v>503</v>
      </c>
      <c r="D263" t="s">
        <v>22</v>
      </c>
      <c r="E263" t="s">
        <v>23</v>
      </c>
      <c r="F263">
        <v>4.3099999999999996</v>
      </c>
      <c r="G263">
        <v>116324</v>
      </c>
      <c r="H263" t="s">
        <v>18</v>
      </c>
      <c r="I263">
        <v>1811.37</v>
      </c>
      <c r="J263">
        <v>0</v>
      </c>
      <c r="K263">
        <v>4.99</v>
      </c>
      <c r="L263">
        <v>282</v>
      </c>
      <c r="M263" t="s">
        <v>26</v>
      </c>
      <c r="N263">
        <v>363</v>
      </c>
    </row>
    <row r="264" spans="1:14" x14ac:dyDescent="0.3">
      <c r="A264">
        <v>1967</v>
      </c>
      <c r="B264" t="s">
        <v>504</v>
      </c>
      <c r="C264" t="s">
        <v>505</v>
      </c>
      <c r="D264" t="s">
        <v>22</v>
      </c>
      <c r="E264" t="s">
        <v>23</v>
      </c>
      <c r="F264">
        <v>4.1500000000000004</v>
      </c>
      <c r="G264">
        <v>134537</v>
      </c>
      <c r="H264" t="s">
        <v>18</v>
      </c>
      <c r="I264">
        <v>1085.3699999999999</v>
      </c>
      <c r="J264">
        <v>651.22199999999998</v>
      </c>
      <c r="K264">
        <v>2.99</v>
      </c>
      <c r="L264">
        <v>282</v>
      </c>
      <c r="M264" t="s">
        <v>26</v>
      </c>
      <c r="N264">
        <v>363</v>
      </c>
    </row>
    <row r="265" spans="1:14" x14ac:dyDescent="0.3">
      <c r="A265">
        <v>2013</v>
      </c>
      <c r="B265" t="s">
        <v>506</v>
      </c>
      <c r="C265" t="s">
        <v>73</v>
      </c>
      <c r="D265" t="s">
        <v>22</v>
      </c>
      <c r="E265" t="s">
        <v>23</v>
      </c>
      <c r="F265">
        <v>4.0999999999999996</v>
      </c>
      <c r="G265">
        <v>95276</v>
      </c>
      <c r="H265" t="s">
        <v>18</v>
      </c>
      <c r="I265">
        <v>357.39</v>
      </c>
      <c r="J265">
        <v>214.434</v>
      </c>
      <c r="K265">
        <v>0.99</v>
      </c>
      <c r="L265">
        <v>283</v>
      </c>
      <c r="M265" t="s">
        <v>26</v>
      </c>
      <c r="N265">
        <v>361</v>
      </c>
    </row>
    <row r="266" spans="1:14" x14ac:dyDescent="0.3">
      <c r="A266">
        <v>1998</v>
      </c>
      <c r="B266" t="s">
        <v>507</v>
      </c>
      <c r="C266" t="s">
        <v>104</v>
      </c>
      <c r="D266" t="s">
        <v>16</v>
      </c>
      <c r="E266" t="s">
        <v>23</v>
      </c>
      <c r="F266">
        <v>3.79</v>
      </c>
      <c r="G266">
        <v>101999</v>
      </c>
      <c r="H266" t="s">
        <v>18</v>
      </c>
      <c r="I266">
        <v>1079.3900000000001</v>
      </c>
      <c r="J266">
        <v>647.63400000000001</v>
      </c>
      <c r="K266">
        <v>2.99</v>
      </c>
      <c r="L266">
        <v>283</v>
      </c>
      <c r="M266" t="s">
        <v>33</v>
      </c>
      <c r="N266">
        <v>361</v>
      </c>
    </row>
    <row r="267" spans="1:14" x14ac:dyDescent="0.3">
      <c r="A267">
        <v>2012</v>
      </c>
      <c r="B267" t="s">
        <v>508</v>
      </c>
      <c r="C267" t="s">
        <v>509</v>
      </c>
      <c r="D267" t="s">
        <v>22</v>
      </c>
      <c r="E267" t="s">
        <v>23</v>
      </c>
      <c r="F267">
        <v>4.24</v>
      </c>
      <c r="G267">
        <v>136761</v>
      </c>
      <c r="H267" t="s">
        <v>40</v>
      </c>
      <c r="I267">
        <v>3905.78</v>
      </c>
      <c r="J267">
        <v>2343.4679999999998</v>
      </c>
      <c r="K267">
        <v>10.91</v>
      </c>
      <c r="L267">
        <v>285</v>
      </c>
      <c r="M267" t="s">
        <v>45</v>
      </c>
      <c r="N267">
        <v>358</v>
      </c>
    </row>
    <row r="268" spans="1:14" x14ac:dyDescent="0.3">
      <c r="A268">
        <v>2008</v>
      </c>
      <c r="B268" t="s">
        <v>510</v>
      </c>
      <c r="C268" t="s">
        <v>511</v>
      </c>
      <c r="D268" t="s">
        <v>22</v>
      </c>
      <c r="E268" t="s">
        <v>23</v>
      </c>
      <c r="F268">
        <v>4.1500000000000004</v>
      </c>
      <c r="G268">
        <v>106351</v>
      </c>
      <c r="H268" t="s">
        <v>18</v>
      </c>
      <c r="I268">
        <v>1064.44</v>
      </c>
      <c r="J268">
        <v>638.66399999999999</v>
      </c>
      <c r="K268">
        <v>2.99</v>
      </c>
      <c r="L268">
        <v>286</v>
      </c>
      <c r="M268" t="s">
        <v>133</v>
      </c>
      <c r="N268">
        <v>356</v>
      </c>
    </row>
    <row r="269" spans="1:14" x14ac:dyDescent="0.3">
      <c r="A269">
        <v>1960</v>
      </c>
      <c r="B269" t="s">
        <v>512</v>
      </c>
      <c r="C269" t="s">
        <v>513</v>
      </c>
      <c r="D269" t="s">
        <v>22</v>
      </c>
      <c r="E269" t="s">
        <v>23</v>
      </c>
      <c r="F269">
        <v>4.12</v>
      </c>
      <c r="G269">
        <v>117582</v>
      </c>
      <c r="H269" t="s">
        <v>40</v>
      </c>
      <c r="I269">
        <v>706.45</v>
      </c>
      <c r="J269">
        <v>423.87</v>
      </c>
      <c r="K269">
        <v>1.99</v>
      </c>
      <c r="L269">
        <v>287</v>
      </c>
      <c r="M269" t="s">
        <v>65</v>
      </c>
      <c r="N269">
        <v>355</v>
      </c>
    </row>
    <row r="270" spans="1:14" x14ac:dyDescent="0.3">
      <c r="A270">
        <v>1987</v>
      </c>
      <c r="B270" t="s">
        <v>514</v>
      </c>
      <c r="C270" t="s">
        <v>515</v>
      </c>
      <c r="D270" t="s">
        <v>22</v>
      </c>
      <c r="E270" t="s">
        <v>23</v>
      </c>
      <c r="F270">
        <v>4.16</v>
      </c>
      <c r="G270">
        <v>109595</v>
      </c>
      <c r="H270" t="s">
        <v>18</v>
      </c>
      <c r="I270">
        <v>1049.49</v>
      </c>
      <c r="J270">
        <v>0</v>
      </c>
      <c r="K270">
        <v>2.99</v>
      </c>
      <c r="L270">
        <v>289</v>
      </c>
      <c r="M270" t="s">
        <v>26</v>
      </c>
      <c r="N270">
        <v>351</v>
      </c>
    </row>
    <row r="271" spans="1:14" x14ac:dyDescent="0.3">
      <c r="A271">
        <v>1902</v>
      </c>
      <c r="B271" t="s">
        <v>516</v>
      </c>
      <c r="C271" t="s">
        <v>517</v>
      </c>
      <c r="D271" t="s">
        <v>22</v>
      </c>
      <c r="E271" t="s">
        <v>23</v>
      </c>
      <c r="F271">
        <v>4.07</v>
      </c>
      <c r="G271">
        <v>107313</v>
      </c>
      <c r="H271" t="s">
        <v>40</v>
      </c>
      <c r="I271">
        <v>347.49</v>
      </c>
      <c r="J271">
        <v>208.494</v>
      </c>
      <c r="K271">
        <v>0.99</v>
      </c>
      <c r="L271">
        <v>289</v>
      </c>
      <c r="M271" t="s">
        <v>26</v>
      </c>
      <c r="N271">
        <v>351</v>
      </c>
    </row>
    <row r="272" spans="1:14" x14ac:dyDescent="0.3">
      <c r="A272">
        <v>2009</v>
      </c>
      <c r="B272" t="s">
        <v>518</v>
      </c>
      <c r="C272" t="s">
        <v>519</v>
      </c>
      <c r="D272" t="s">
        <v>22</v>
      </c>
      <c r="E272" t="s">
        <v>23</v>
      </c>
      <c r="F272">
        <v>3.88</v>
      </c>
      <c r="G272">
        <v>98645</v>
      </c>
      <c r="H272" t="s">
        <v>18</v>
      </c>
      <c r="I272">
        <v>346.5</v>
      </c>
      <c r="J272">
        <v>0</v>
      </c>
      <c r="K272">
        <v>0.99</v>
      </c>
      <c r="L272">
        <v>290</v>
      </c>
      <c r="M272" t="s">
        <v>26</v>
      </c>
      <c r="N272">
        <v>350</v>
      </c>
    </row>
    <row r="273" spans="1:14" x14ac:dyDescent="0.3">
      <c r="A273">
        <v>2010</v>
      </c>
      <c r="B273" t="s">
        <v>520</v>
      </c>
      <c r="C273" t="s">
        <v>521</v>
      </c>
      <c r="D273" t="s">
        <v>16</v>
      </c>
      <c r="E273" t="s">
        <v>23</v>
      </c>
      <c r="F273">
        <v>3.7</v>
      </c>
      <c r="G273">
        <v>106336</v>
      </c>
      <c r="H273" t="s">
        <v>18</v>
      </c>
      <c r="I273">
        <v>344.52</v>
      </c>
      <c r="J273">
        <v>0</v>
      </c>
      <c r="K273">
        <v>0.99</v>
      </c>
      <c r="L273">
        <v>291</v>
      </c>
      <c r="M273" t="s">
        <v>26</v>
      </c>
      <c r="N273">
        <v>348</v>
      </c>
    </row>
    <row r="274" spans="1:14" x14ac:dyDescent="0.3">
      <c r="A274">
        <v>1999</v>
      </c>
      <c r="B274" t="s">
        <v>522</v>
      </c>
      <c r="C274" t="s">
        <v>523</v>
      </c>
      <c r="D274" t="s">
        <v>22</v>
      </c>
      <c r="E274" t="s">
        <v>23</v>
      </c>
      <c r="F274">
        <v>4.2300000000000004</v>
      </c>
      <c r="G274">
        <v>118467</v>
      </c>
      <c r="H274" t="s">
        <v>40</v>
      </c>
      <c r="I274">
        <v>1031.55</v>
      </c>
      <c r="J274">
        <v>618.92999999999995</v>
      </c>
      <c r="K274">
        <v>2.99</v>
      </c>
      <c r="L274">
        <v>293</v>
      </c>
      <c r="M274" t="s">
        <v>65</v>
      </c>
      <c r="N274">
        <v>345</v>
      </c>
    </row>
    <row r="275" spans="1:14" x14ac:dyDescent="0.3">
      <c r="A275">
        <v>1623</v>
      </c>
      <c r="B275" t="s">
        <v>524</v>
      </c>
      <c r="C275" t="s">
        <v>365</v>
      </c>
      <c r="D275" t="s">
        <v>16</v>
      </c>
      <c r="E275" t="s">
        <v>23</v>
      </c>
      <c r="F275">
        <v>3.8</v>
      </c>
      <c r="G275">
        <v>125178</v>
      </c>
      <c r="H275" t="s">
        <v>18</v>
      </c>
      <c r="I275">
        <v>1025.57</v>
      </c>
      <c r="J275">
        <v>0</v>
      </c>
      <c r="K275">
        <v>2.99</v>
      </c>
      <c r="L275">
        <v>294</v>
      </c>
      <c r="M275" t="s">
        <v>26</v>
      </c>
      <c r="N275">
        <v>343</v>
      </c>
    </row>
    <row r="276" spans="1:14" x14ac:dyDescent="0.3">
      <c r="A276">
        <v>2010</v>
      </c>
      <c r="B276" t="s">
        <v>525</v>
      </c>
      <c r="C276" t="s">
        <v>241</v>
      </c>
      <c r="D276" t="s">
        <v>22</v>
      </c>
      <c r="E276" t="s">
        <v>23</v>
      </c>
      <c r="F276">
        <v>3.98</v>
      </c>
      <c r="G276">
        <v>120763</v>
      </c>
      <c r="H276" t="s">
        <v>18</v>
      </c>
      <c r="I276">
        <v>1019.59</v>
      </c>
      <c r="J276">
        <v>0</v>
      </c>
      <c r="K276">
        <v>2.99</v>
      </c>
      <c r="L276">
        <v>295</v>
      </c>
      <c r="M276" t="s">
        <v>26</v>
      </c>
      <c r="N276">
        <v>341</v>
      </c>
    </row>
    <row r="277" spans="1:14" x14ac:dyDescent="0.3">
      <c r="A277">
        <v>1997</v>
      </c>
      <c r="B277" t="s">
        <v>526</v>
      </c>
      <c r="C277" t="s">
        <v>527</v>
      </c>
      <c r="D277" t="s">
        <v>22</v>
      </c>
      <c r="E277" t="s">
        <v>23</v>
      </c>
      <c r="F277">
        <v>4.24</v>
      </c>
      <c r="G277">
        <v>105026</v>
      </c>
      <c r="H277" t="s">
        <v>29</v>
      </c>
      <c r="I277">
        <v>1019.59</v>
      </c>
      <c r="J277">
        <v>611.75400000000002</v>
      </c>
      <c r="K277">
        <v>2.99</v>
      </c>
      <c r="L277">
        <v>295</v>
      </c>
      <c r="M277" t="s">
        <v>65</v>
      </c>
      <c r="N277">
        <v>341</v>
      </c>
    </row>
    <row r="278" spans="1:14" x14ac:dyDescent="0.3">
      <c r="A278">
        <v>2013</v>
      </c>
      <c r="B278" t="s">
        <v>528</v>
      </c>
      <c r="C278" t="s">
        <v>529</v>
      </c>
      <c r="D278" t="s">
        <v>22</v>
      </c>
      <c r="E278" t="s">
        <v>17</v>
      </c>
      <c r="F278">
        <v>3.46</v>
      </c>
      <c r="G278">
        <v>109412</v>
      </c>
      <c r="H278" t="s">
        <v>18</v>
      </c>
      <c r="I278">
        <v>3872.6</v>
      </c>
      <c r="J278">
        <v>2323.56</v>
      </c>
      <c r="K278">
        <v>11.39</v>
      </c>
      <c r="L278">
        <v>296</v>
      </c>
      <c r="M278" t="s">
        <v>33</v>
      </c>
      <c r="N278">
        <v>340</v>
      </c>
    </row>
    <row r="279" spans="1:14" x14ac:dyDescent="0.3">
      <c r="A279">
        <v>2007</v>
      </c>
      <c r="B279" t="s">
        <v>530</v>
      </c>
      <c r="C279" t="s">
        <v>531</v>
      </c>
      <c r="D279" t="s">
        <v>22</v>
      </c>
      <c r="E279" t="s">
        <v>23</v>
      </c>
      <c r="F279">
        <v>4.2300000000000004</v>
      </c>
      <c r="G279">
        <v>132159</v>
      </c>
      <c r="H279" t="s">
        <v>18</v>
      </c>
      <c r="I279">
        <v>1686.62</v>
      </c>
      <c r="J279">
        <v>0</v>
      </c>
      <c r="K279">
        <v>4.99</v>
      </c>
      <c r="L279">
        <v>297</v>
      </c>
      <c r="M279" t="s">
        <v>26</v>
      </c>
      <c r="N279">
        <v>338</v>
      </c>
    </row>
    <row r="280" spans="1:14" x14ac:dyDescent="0.3">
      <c r="A280">
        <v>1932</v>
      </c>
      <c r="B280" t="s">
        <v>532</v>
      </c>
      <c r="C280" t="s">
        <v>533</v>
      </c>
      <c r="D280" t="s">
        <v>22</v>
      </c>
      <c r="E280" t="s">
        <v>23</v>
      </c>
      <c r="F280">
        <v>4.16</v>
      </c>
      <c r="G280">
        <v>108124</v>
      </c>
      <c r="H280" t="s">
        <v>18</v>
      </c>
      <c r="I280">
        <v>1676.64</v>
      </c>
      <c r="J280">
        <v>0</v>
      </c>
      <c r="K280">
        <v>4.99</v>
      </c>
      <c r="L280">
        <v>298</v>
      </c>
      <c r="M280" t="s">
        <v>26</v>
      </c>
      <c r="N280">
        <v>336</v>
      </c>
    </row>
    <row r="281" spans="1:14" x14ac:dyDescent="0.3">
      <c r="A281">
        <v>2003</v>
      </c>
      <c r="B281" t="s">
        <v>534</v>
      </c>
      <c r="C281" t="s">
        <v>535</v>
      </c>
      <c r="D281" t="s">
        <v>22</v>
      </c>
      <c r="E281" t="s">
        <v>536</v>
      </c>
      <c r="F281">
        <v>4.3600000000000003</v>
      </c>
      <c r="G281">
        <v>113881</v>
      </c>
      <c r="H281" t="s">
        <v>18</v>
      </c>
      <c r="I281">
        <v>666.65</v>
      </c>
      <c r="J281">
        <v>399.99</v>
      </c>
      <c r="K281">
        <v>1.99</v>
      </c>
      <c r="L281">
        <v>299</v>
      </c>
      <c r="M281" t="s">
        <v>19</v>
      </c>
      <c r="N281">
        <v>335</v>
      </c>
    </row>
    <row r="282" spans="1:14" x14ac:dyDescent="0.3">
      <c r="A282">
        <v>2014</v>
      </c>
      <c r="B282" t="s">
        <v>537</v>
      </c>
      <c r="C282" t="s">
        <v>538</v>
      </c>
      <c r="D282" t="s">
        <v>22</v>
      </c>
      <c r="E282" t="s">
        <v>23</v>
      </c>
      <c r="F282">
        <v>3.81</v>
      </c>
      <c r="G282">
        <v>100936</v>
      </c>
      <c r="H282" t="s">
        <v>18</v>
      </c>
      <c r="I282">
        <v>2620.7199999999998</v>
      </c>
      <c r="J282">
        <v>1572.432</v>
      </c>
      <c r="K282">
        <v>7.99</v>
      </c>
      <c r="L282">
        <v>303</v>
      </c>
      <c r="M282" t="s">
        <v>45</v>
      </c>
      <c r="N282">
        <v>328</v>
      </c>
    </row>
    <row r="283" spans="1:14" x14ac:dyDescent="0.3">
      <c r="A283">
        <v>2012</v>
      </c>
      <c r="B283" t="s">
        <v>539</v>
      </c>
      <c r="C283" t="s">
        <v>540</v>
      </c>
      <c r="D283" t="s">
        <v>22</v>
      </c>
      <c r="E283" t="s">
        <v>536</v>
      </c>
      <c r="F283">
        <v>4.21</v>
      </c>
      <c r="G283">
        <v>138871</v>
      </c>
      <c r="H283" t="s">
        <v>18</v>
      </c>
      <c r="I283">
        <v>2875.32</v>
      </c>
      <c r="J283">
        <v>1725.192</v>
      </c>
      <c r="K283">
        <v>8.82</v>
      </c>
      <c r="L283">
        <v>304</v>
      </c>
      <c r="M283" t="s">
        <v>33</v>
      </c>
      <c r="N283">
        <v>326</v>
      </c>
    </row>
    <row r="284" spans="1:14" x14ac:dyDescent="0.3">
      <c r="A284">
        <v>2014</v>
      </c>
      <c r="B284" t="s">
        <v>541</v>
      </c>
      <c r="C284" t="s">
        <v>542</v>
      </c>
      <c r="D284" t="s">
        <v>22</v>
      </c>
      <c r="E284" t="s">
        <v>23</v>
      </c>
      <c r="F284">
        <v>3.55</v>
      </c>
      <c r="G284">
        <v>113805</v>
      </c>
      <c r="H284" t="s">
        <v>18</v>
      </c>
      <c r="I284">
        <v>1300.74</v>
      </c>
      <c r="J284">
        <v>0</v>
      </c>
      <c r="K284">
        <v>3.99</v>
      </c>
      <c r="L284">
        <v>304</v>
      </c>
      <c r="M284" t="s">
        <v>26</v>
      </c>
      <c r="N284">
        <v>326</v>
      </c>
    </row>
    <row r="285" spans="1:14" x14ac:dyDescent="0.3">
      <c r="A285">
        <v>2008</v>
      </c>
      <c r="B285" t="s">
        <v>543</v>
      </c>
      <c r="C285" t="s">
        <v>241</v>
      </c>
      <c r="D285" t="s">
        <v>22</v>
      </c>
      <c r="E285" t="s">
        <v>23</v>
      </c>
      <c r="F285">
        <v>3.96</v>
      </c>
      <c r="G285">
        <v>127387</v>
      </c>
      <c r="H285" t="s">
        <v>29</v>
      </c>
      <c r="I285">
        <v>2759.25</v>
      </c>
      <c r="J285">
        <v>1655.55</v>
      </c>
      <c r="K285">
        <v>8.49</v>
      </c>
      <c r="L285">
        <v>305</v>
      </c>
      <c r="M285" t="s">
        <v>19</v>
      </c>
      <c r="N285">
        <v>325</v>
      </c>
    </row>
    <row r="286" spans="1:14" x14ac:dyDescent="0.3">
      <c r="A286">
        <v>2005</v>
      </c>
      <c r="B286" t="s">
        <v>544</v>
      </c>
      <c r="C286" t="s">
        <v>545</v>
      </c>
      <c r="D286" t="s">
        <v>22</v>
      </c>
      <c r="E286" t="s">
        <v>536</v>
      </c>
      <c r="F286">
        <v>4.12</v>
      </c>
      <c r="G286">
        <v>100513</v>
      </c>
      <c r="H286" t="s">
        <v>18</v>
      </c>
      <c r="I286">
        <v>1611.77</v>
      </c>
      <c r="J286">
        <v>967.06200000000001</v>
      </c>
      <c r="K286">
        <v>4.99</v>
      </c>
      <c r="L286">
        <v>306</v>
      </c>
      <c r="M286" t="s">
        <v>65</v>
      </c>
      <c r="N286">
        <v>323</v>
      </c>
    </row>
    <row r="287" spans="1:14" x14ac:dyDescent="0.3">
      <c r="A287">
        <v>2009</v>
      </c>
      <c r="B287" t="s">
        <v>546</v>
      </c>
      <c r="C287" t="s">
        <v>547</v>
      </c>
      <c r="D287" t="s">
        <v>22</v>
      </c>
      <c r="E287" t="s">
        <v>23</v>
      </c>
      <c r="F287">
        <v>3.85</v>
      </c>
      <c r="G287">
        <v>102936</v>
      </c>
      <c r="H287" t="s">
        <v>18</v>
      </c>
      <c r="I287">
        <v>2468.4899999999998</v>
      </c>
      <c r="J287">
        <v>1481.0940000000001</v>
      </c>
      <c r="K287">
        <v>7.69</v>
      </c>
      <c r="L287">
        <v>307</v>
      </c>
      <c r="M287" t="s">
        <v>33</v>
      </c>
      <c r="N287">
        <v>321</v>
      </c>
    </row>
    <row r="288" spans="1:14" x14ac:dyDescent="0.3">
      <c r="A288">
        <v>1986</v>
      </c>
      <c r="B288" t="s">
        <v>548</v>
      </c>
      <c r="C288" t="s">
        <v>549</v>
      </c>
      <c r="D288" t="s">
        <v>22</v>
      </c>
      <c r="E288" t="s">
        <v>536</v>
      </c>
      <c r="F288">
        <v>4.3</v>
      </c>
      <c r="G288">
        <v>123945</v>
      </c>
      <c r="H288" t="s">
        <v>18</v>
      </c>
      <c r="I288">
        <v>950.82</v>
      </c>
      <c r="J288">
        <v>0</v>
      </c>
      <c r="K288">
        <v>2.99</v>
      </c>
      <c r="L288">
        <v>309</v>
      </c>
      <c r="M288" t="s">
        <v>26</v>
      </c>
      <c r="N288">
        <v>318</v>
      </c>
    </row>
    <row r="289" spans="1:14" x14ac:dyDescent="0.3">
      <c r="A289">
        <v>2001</v>
      </c>
      <c r="B289" t="s">
        <v>550</v>
      </c>
      <c r="C289" t="s">
        <v>551</v>
      </c>
      <c r="D289" t="s">
        <v>120</v>
      </c>
      <c r="E289" t="s">
        <v>23</v>
      </c>
      <c r="F289">
        <v>3.59</v>
      </c>
      <c r="G289">
        <v>115855</v>
      </c>
      <c r="H289" t="s">
        <v>18</v>
      </c>
      <c r="I289">
        <v>1576.84</v>
      </c>
      <c r="J289">
        <v>0</v>
      </c>
      <c r="K289">
        <v>4.99</v>
      </c>
      <c r="L289">
        <v>310</v>
      </c>
      <c r="M289" t="s">
        <v>26</v>
      </c>
      <c r="N289">
        <v>316</v>
      </c>
    </row>
    <row r="290" spans="1:14" x14ac:dyDescent="0.3">
      <c r="A290">
        <v>1854</v>
      </c>
      <c r="B290" t="s">
        <v>552</v>
      </c>
      <c r="C290" t="s">
        <v>553</v>
      </c>
      <c r="D290" t="s">
        <v>22</v>
      </c>
      <c r="E290" t="s">
        <v>23</v>
      </c>
      <c r="F290">
        <v>3.79</v>
      </c>
      <c r="G290">
        <v>108062</v>
      </c>
      <c r="H290" t="s">
        <v>40</v>
      </c>
      <c r="I290">
        <v>2044.35</v>
      </c>
      <c r="J290">
        <v>1226.6099999999999</v>
      </c>
      <c r="K290">
        <v>6.49</v>
      </c>
      <c r="L290">
        <v>311</v>
      </c>
      <c r="M290" t="s">
        <v>45</v>
      </c>
      <c r="N290">
        <v>315</v>
      </c>
    </row>
    <row r="291" spans="1:14" x14ac:dyDescent="0.3">
      <c r="A291">
        <v>1989</v>
      </c>
      <c r="B291" t="s">
        <v>554</v>
      </c>
      <c r="C291" t="s">
        <v>555</v>
      </c>
      <c r="D291" t="s">
        <v>22</v>
      </c>
      <c r="E291" t="s">
        <v>536</v>
      </c>
      <c r="F291">
        <v>4.0999999999999996</v>
      </c>
      <c r="G291">
        <v>105892</v>
      </c>
      <c r="H291" t="s">
        <v>40</v>
      </c>
      <c r="I291">
        <v>1874.87</v>
      </c>
      <c r="J291">
        <v>1124.922</v>
      </c>
      <c r="K291">
        <v>5.99</v>
      </c>
      <c r="L291">
        <v>312</v>
      </c>
      <c r="M291" t="s">
        <v>45</v>
      </c>
      <c r="N291">
        <v>313</v>
      </c>
    </row>
    <row r="292" spans="1:14" x14ac:dyDescent="0.3">
      <c r="A292">
        <v>2010</v>
      </c>
      <c r="B292" t="s">
        <v>556</v>
      </c>
      <c r="C292" t="s">
        <v>71</v>
      </c>
      <c r="D292" t="s">
        <v>16</v>
      </c>
      <c r="E292" t="s">
        <v>23</v>
      </c>
      <c r="F292">
        <v>3.91</v>
      </c>
      <c r="G292">
        <v>103915</v>
      </c>
      <c r="H292" t="s">
        <v>18</v>
      </c>
      <c r="I292">
        <v>307.89</v>
      </c>
      <c r="J292">
        <v>184.73400000000001</v>
      </c>
      <c r="K292">
        <v>0.99</v>
      </c>
      <c r="L292">
        <v>313</v>
      </c>
      <c r="M292" t="s">
        <v>26</v>
      </c>
      <c r="N292">
        <v>311</v>
      </c>
    </row>
    <row r="293" spans="1:14" x14ac:dyDescent="0.3">
      <c r="A293">
        <v>2011</v>
      </c>
      <c r="B293" t="s">
        <v>557</v>
      </c>
      <c r="C293" t="s">
        <v>558</v>
      </c>
      <c r="D293" t="s">
        <v>22</v>
      </c>
      <c r="E293" t="s">
        <v>23</v>
      </c>
      <c r="F293">
        <v>3.7</v>
      </c>
      <c r="G293">
        <v>94968</v>
      </c>
      <c r="H293" t="s">
        <v>18</v>
      </c>
      <c r="I293">
        <v>306.89999999999998</v>
      </c>
      <c r="J293">
        <v>0</v>
      </c>
      <c r="K293">
        <v>0.99</v>
      </c>
      <c r="L293">
        <v>314</v>
      </c>
      <c r="M293" t="s">
        <v>26</v>
      </c>
      <c r="N293">
        <v>310</v>
      </c>
    </row>
    <row r="294" spans="1:14" x14ac:dyDescent="0.3">
      <c r="A294">
        <v>1982</v>
      </c>
      <c r="B294" t="s">
        <v>559</v>
      </c>
      <c r="C294" t="s">
        <v>560</v>
      </c>
      <c r="D294" t="s">
        <v>16</v>
      </c>
      <c r="E294" t="s">
        <v>23</v>
      </c>
      <c r="F294">
        <v>3.82</v>
      </c>
      <c r="G294">
        <v>116026</v>
      </c>
      <c r="H294" t="s">
        <v>18</v>
      </c>
      <c r="I294">
        <v>616.9</v>
      </c>
      <c r="J294">
        <v>370.14</v>
      </c>
      <c r="K294">
        <v>1.99</v>
      </c>
      <c r="L294">
        <v>314</v>
      </c>
      <c r="M294" t="s">
        <v>26</v>
      </c>
      <c r="N294">
        <v>310</v>
      </c>
    </row>
    <row r="295" spans="1:14" x14ac:dyDescent="0.3">
      <c r="A295">
        <v>-430</v>
      </c>
      <c r="B295" t="s">
        <v>561</v>
      </c>
      <c r="C295" t="s">
        <v>562</v>
      </c>
      <c r="D295" t="s">
        <v>22</v>
      </c>
      <c r="E295" t="s">
        <v>23</v>
      </c>
      <c r="F295">
        <v>3.67</v>
      </c>
      <c r="G295">
        <v>119496</v>
      </c>
      <c r="H295" t="s">
        <v>18</v>
      </c>
      <c r="I295">
        <v>2460.92</v>
      </c>
      <c r="J295">
        <v>1476.5519999999999</v>
      </c>
      <c r="K295">
        <v>7.99</v>
      </c>
      <c r="L295">
        <v>315</v>
      </c>
      <c r="M295" t="s">
        <v>30</v>
      </c>
      <c r="N295">
        <v>308</v>
      </c>
    </row>
    <row r="296" spans="1:14" x14ac:dyDescent="0.3">
      <c r="A296">
        <v>2009</v>
      </c>
      <c r="B296" t="s">
        <v>563</v>
      </c>
      <c r="C296" t="s">
        <v>564</v>
      </c>
      <c r="D296" t="s">
        <v>22</v>
      </c>
      <c r="E296" t="s">
        <v>23</v>
      </c>
      <c r="F296">
        <v>3.87</v>
      </c>
      <c r="G296">
        <v>106729</v>
      </c>
      <c r="H296" t="s">
        <v>40</v>
      </c>
      <c r="I296">
        <v>2152.92</v>
      </c>
      <c r="J296">
        <v>1291.752</v>
      </c>
      <c r="K296">
        <v>6.99</v>
      </c>
      <c r="L296">
        <v>315</v>
      </c>
      <c r="M296" t="s">
        <v>33</v>
      </c>
      <c r="N296">
        <v>308</v>
      </c>
    </row>
    <row r="297" spans="1:14" x14ac:dyDescent="0.3">
      <c r="A297">
        <v>1908</v>
      </c>
      <c r="B297" t="s">
        <v>565</v>
      </c>
      <c r="C297" t="s">
        <v>566</v>
      </c>
      <c r="D297" t="s">
        <v>22</v>
      </c>
      <c r="E297" t="s">
        <v>23</v>
      </c>
      <c r="F297">
        <v>3.98</v>
      </c>
      <c r="G297">
        <v>124612</v>
      </c>
      <c r="H297" t="s">
        <v>18</v>
      </c>
      <c r="I297">
        <v>10327.299999999999</v>
      </c>
      <c r="J297">
        <v>6196.38</v>
      </c>
      <c r="K297">
        <v>33.86</v>
      </c>
      <c r="L297">
        <v>317</v>
      </c>
      <c r="M297" t="s">
        <v>33</v>
      </c>
      <c r="N297">
        <v>305</v>
      </c>
    </row>
    <row r="298" spans="1:14" x14ac:dyDescent="0.3">
      <c r="A298">
        <v>2014</v>
      </c>
      <c r="B298" t="s">
        <v>567</v>
      </c>
      <c r="C298" t="s">
        <v>568</v>
      </c>
      <c r="D298" t="s">
        <v>22</v>
      </c>
      <c r="E298" t="s">
        <v>536</v>
      </c>
      <c r="F298">
        <v>4.1100000000000003</v>
      </c>
      <c r="G298">
        <v>136938</v>
      </c>
      <c r="H298" t="s">
        <v>40</v>
      </c>
      <c r="I298">
        <v>598.99</v>
      </c>
      <c r="J298">
        <v>0</v>
      </c>
      <c r="K298">
        <v>1.99</v>
      </c>
      <c r="L298">
        <v>319</v>
      </c>
      <c r="M298" t="s">
        <v>26</v>
      </c>
      <c r="N298">
        <v>301</v>
      </c>
    </row>
    <row r="299" spans="1:14" x14ac:dyDescent="0.3">
      <c r="A299">
        <v>2000</v>
      </c>
      <c r="B299" t="s">
        <v>569</v>
      </c>
      <c r="C299" t="s">
        <v>570</v>
      </c>
      <c r="D299" t="s">
        <v>22</v>
      </c>
      <c r="E299" t="s">
        <v>536</v>
      </c>
      <c r="F299">
        <v>4.2300000000000004</v>
      </c>
      <c r="G299">
        <v>117103</v>
      </c>
      <c r="H299" t="s">
        <v>18</v>
      </c>
      <c r="I299">
        <v>1487.02</v>
      </c>
      <c r="J299">
        <v>892.21199999999999</v>
      </c>
      <c r="K299">
        <v>4.99</v>
      </c>
      <c r="L299">
        <v>321</v>
      </c>
      <c r="M299" t="s">
        <v>45</v>
      </c>
      <c r="N299">
        <v>298</v>
      </c>
    </row>
    <row r="300" spans="1:14" x14ac:dyDescent="0.3">
      <c r="A300">
        <v>1908</v>
      </c>
      <c r="B300" t="s">
        <v>571</v>
      </c>
      <c r="C300" t="s">
        <v>572</v>
      </c>
      <c r="D300" t="s">
        <v>22</v>
      </c>
      <c r="E300" t="s">
        <v>23</v>
      </c>
      <c r="F300">
        <v>3.91</v>
      </c>
      <c r="G300">
        <v>109994</v>
      </c>
      <c r="H300" t="s">
        <v>18</v>
      </c>
      <c r="I300">
        <v>891.02</v>
      </c>
      <c r="J300">
        <v>0</v>
      </c>
      <c r="K300">
        <v>2.99</v>
      </c>
      <c r="L300">
        <v>321</v>
      </c>
      <c r="M300" t="s">
        <v>26</v>
      </c>
      <c r="N300">
        <v>298</v>
      </c>
    </row>
    <row r="301" spans="1:14" x14ac:dyDescent="0.3">
      <c r="A301">
        <v>2010</v>
      </c>
      <c r="B301" t="s">
        <v>573</v>
      </c>
      <c r="C301" t="s">
        <v>574</v>
      </c>
      <c r="D301" t="s">
        <v>16</v>
      </c>
      <c r="E301" t="s">
        <v>23</v>
      </c>
      <c r="F301">
        <v>3.86</v>
      </c>
      <c r="G301">
        <v>136736</v>
      </c>
      <c r="H301" t="s">
        <v>18</v>
      </c>
      <c r="I301">
        <v>1181.04</v>
      </c>
      <c r="J301">
        <v>0</v>
      </c>
      <c r="K301">
        <v>3.99</v>
      </c>
      <c r="L301">
        <v>322</v>
      </c>
      <c r="M301" t="s">
        <v>26</v>
      </c>
      <c r="N301">
        <v>296</v>
      </c>
    </row>
    <row r="302" spans="1:14" x14ac:dyDescent="0.3">
      <c r="A302">
        <v>2008</v>
      </c>
      <c r="B302" t="s">
        <v>575</v>
      </c>
      <c r="C302" t="s">
        <v>47</v>
      </c>
      <c r="D302" t="s">
        <v>22</v>
      </c>
      <c r="E302" t="s">
        <v>536</v>
      </c>
      <c r="F302">
        <v>4.01</v>
      </c>
      <c r="G302">
        <v>120475</v>
      </c>
      <c r="H302" t="s">
        <v>40</v>
      </c>
      <c r="I302">
        <v>885.04</v>
      </c>
      <c r="J302">
        <v>531.024</v>
      </c>
      <c r="K302">
        <v>2.99</v>
      </c>
      <c r="L302">
        <v>322</v>
      </c>
      <c r="M302" t="s">
        <v>26</v>
      </c>
      <c r="N302">
        <v>296</v>
      </c>
    </row>
    <row r="303" spans="1:14" x14ac:dyDescent="0.3">
      <c r="A303">
        <v>1995</v>
      </c>
      <c r="B303" t="s">
        <v>576</v>
      </c>
      <c r="C303" t="s">
        <v>577</v>
      </c>
      <c r="D303" t="s">
        <v>16</v>
      </c>
      <c r="E303" t="s">
        <v>536</v>
      </c>
      <c r="F303">
        <v>4.13</v>
      </c>
      <c r="G303">
        <v>78028</v>
      </c>
      <c r="H303" t="s">
        <v>18</v>
      </c>
      <c r="I303">
        <v>1772.95</v>
      </c>
      <c r="J303">
        <v>1063.77</v>
      </c>
      <c r="K303">
        <v>6.01</v>
      </c>
      <c r="L303">
        <v>323</v>
      </c>
      <c r="M303" t="s">
        <v>19</v>
      </c>
      <c r="N303">
        <v>295</v>
      </c>
    </row>
    <row r="304" spans="1:14" x14ac:dyDescent="0.3">
      <c r="A304">
        <v>1994</v>
      </c>
      <c r="B304" t="s">
        <v>578</v>
      </c>
      <c r="C304" t="s">
        <v>158</v>
      </c>
      <c r="D304" t="s">
        <v>22</v>
      </c>
      <c r="E304" t="s">
        <v>23</v>
      </c>
      <c r="F304">
        <v>3.76</v>
      </c>
      <c r="G304">
        <v>102715</v>
      </c>
      <c r="H304" t="s">
        <v>18</v>
      </c>
      <c r="I304">
        <v>292.05</v>
      </c>
      <c r="J304">
        <v>0</v>
      </c>
      <c r="K304">
        <v>0.99</v>
      </c>
      <c r="L304">
        <v>323</v>
      </c>
      <c r="M304" t="s">
        <v>26</v>
      </c>
      <c r="N304">
        <v>295</v>
      </c>
    </row>
    <row r="305" spans="1:14" x14ac:dyDescent="0.3">
      <c r="A305">
        <v>2008</v>
      </c>
      <c r="B305" t="s">
        <v>579</v>
      </c>
      <c r="C305" t="s">
        <v>398</v>
      </c>
      <c r="D305" t="s">
        <v>22</v>
      </c>
      <c r="E305" t="s">
        <v>536</v>
      </c>
      <c r="F305">
        <v>4.03</v>
      </c>
      <c r="G305">
        <v>138118</v>
      </c>
      <c r="H305" t="s">
        <v>18</v>
      </c>
      <c r="I305">
        <v>290.07</v>
      </c>
      <c r="J305">
        <v>0</v>
      </c>
      <c r="K305">
        <v>0.99</v>
      </c>
      <c r="L305">
        <v>324</v>
      </c>
      <c r="M305" t="s">
        <v>26</v>
      </c>
      <c r="N305">
        <v>293</v>
      </c>
    </row>
    <row r="306" spans="1:14" x14ac:dyDescent="0.3">
      <c r="A306">
        <v>1999</v>
      </c>
      <c r="B306" t="s">
        <v>580</v>
      </c>
      <c r="C306" t="s">
        <v>581</v>
      </c>
      <c r="D306" t="s">
        <v>22</v>
      </c>
      <c r="E306" t="s">
        <v>536</v>
      </c>
      <c r="F306">
        <v>4.3499999999999996</v>
      </c>
      <c r="G306">
        <v>104633</v>
      </c>
      <c r="H306" t="s">
        <v>40</v>
      </c>
      <c r="I306">
        <v>288.08999999999997</v>
      </c>
      <c r="J306">
        <v>172.85400000000001</v>
      </c>
      <c r="K306">
        <v>0.99</v>
      </c>
      <c r="L306">
        <v>325</v>
      </c>
      <c r="M306" t="s">
        <v>582</v>
      </c>
      <c r="N306">
        <v>291</v>
      </c>
    </row>
    <row r="307" spans="1:14" x14ac:dyDescent="0.3">
      <c r="A307">
        <v>2012</v>
      </c>
      <c r="B307" t="s">
        <v>583</v>
      </c>
      <c r="C307" t="s">
        <v>584</v>
      </c>
      <c r="D307" t="s">
        <v>22</v>
      </c>
      <c r="E307" t="s">
        <v>23</v>
      </c>
      <c r="F307">
        <v>3.89</v>
      </c>
      <c r="G307">
        <v>94012</v>
      </c>
      <c r="H307" t="s">
        <v>18</v>
      </c>
      <c r="I307">
        <v>3694.6</v>
      </c>
      <c r="J307">
        <v>2216.7600000000002</v>
      </c>
      <c r="K307">
        <v>12.74</v>
      </c>
      <c r="L307">
        <v>326</v>
      </c>
      <c r="M307" t="s">
        <v>30</v>
      </c>
      <c r="N307">
        <v>290</v>
      </c>
    </row>
    <row r="308" spans="1:14" x14ac:dyDescent="0.3">
      <c r="A308">
        <v>2012</v>
      </c>
      <c r="B308" t="s">
        <v>585</v>
      </c>
      <c r="C308" t="s">
        <v>586</v>
      </c>
      <c r="D308" t="s">
        <v>22</v>
      </c>
      <c r="E308" t="s">
        <v>23</v>
      </c>
      <c r="F308">
        <v>3.99</v>
      </c>
      <c r="G308">
        <v>121863</v>
      </c>
      <c r="H308" t="s">
        <v>18</v>
      </c>
      <c r="I308">
        <v>1149.1199999999999</v>
      </c>
      <c r="J308">
        <v>689.47199999999998</v>
      </c>
      <c r="K308">
        <v>3.99</v>
      </c>
      <c r="L308">
        <v>327</v>
      </c>
      <c r="M308" t="s">
        <v>26</v>
      </c>
      <c r="N308">
        <v>288</v>
      </c>
    </row>
    <row r="309" spans="1:14" x14ac:dyDescent="0.3">
      <c r="A309">
        <v>1991</v>
      </c>
      <c r="B309" t="s">
        <v>587</v>
      </c>
      <c r="C309" t="s">
        <v>447</v>
      </c>
      <c r="D309" t="s">
        <v>22</v>
      </c>
      <c r="E309" t="s">
        <v>23</v>
      </c>
      <c r="F309">
        <v>3.77</v>
      </c>
      <c r="G309">
        <v>104467</v>
      </c>
      <c r="H309" t="s">
        <v>18</v>
      </c>
      <c r="I309">
        <v>1707.15</v>
      </c>
      <c r="J309">
        <v>1024.29</v>
      </c>
      <c r="K309">
        <v>5.99</v>
      </c>
      <c r="L309">
        <v>329</v>
      </c>
      <c r="M309" t="s">
        <v>65</v>
      </c>
      <c r="N309">
        <v>285</v>
      </c>
    </row>
    <row r="310" spans="1:14" x14ac:dyDescent="0.3">
      <c r="A310">
        <v>1596</v>
      </c>
      <c r="B310" t="s">
        <v>588</v>
      </c>
      <c r="C310" t="s">
        <v>589</v>
      </c>
      <c r="D310" t="s">
        <v>22</v>
      </c>
      <c r="E310" t="s">
        <v>23</v>
      </c>
      <c r="F310">
        <v>3.78</v>
      </c>
      <c r="G310">
        <v>115621</v>
      </c>
      <c r="H310" t="s">
        <v>18</v>
      </c>
      <c r="I310">
        <v>427.5</v>
      </c>
      <c r="J310">
        <v>0</v>
      </c>
      <c r="K310">
        <v>1.5</v>
      </c>
      <c r="L310">
        <v>329</v>
      </c>
      <c r="M310" t="s">
        <v>26</v>
      </c>
      <c r="N310">
        <v>285</v>
      </c>
    </row>
    <row r="311" spans="1:14" x14ac:dyDescent="0.3">
      <c r="A311">
        <v>1975</v>
      </c>
      <c r="B311" t="s">
        <v>590</v>
      </c>
      <c r="C311" t="s">
        <v>591</v>
      </c>
      <c r="D311" t="s">
        <v>22</v>
      </c>
      <c r="E311" t="s">
        <v>536</v>
      </c>
      <c r="F311">
        <v>4.37</v>
      </c>
      <c r="G311">
        <v>104339</v>
      </c>
      <c r="H311" t="s">
        <v>18</v>
      </c>
      <c r="I311">
        <v>2071.56</v>
      </c>
      <c r="J311">
        <v>1242.9359999999999</v>
      </c>
      <c r="K311">
        <v>7.32</v>
      </c>
      <c r="L311">
        <v>330</v>
      </c>
      <c r="M311" t="s">
        <v>30</v>
      </c>
      <c r="N311">
        <v>283</v>
      </c>
    </row>
    <row r="312" spans="1:14" x14ac:dyDescent="0.3">
      <c r="A312">
        <v>2006</v>
      </c>
      <c r="B312" t="s">
        <v>592</v>
      </c>
      <c r="C312" t="s">
        <v>593</v>
      </c>
      <c r="D312" t="s">
        <v>22</v>
      </c>
      <c r="E312" t="s">
        <v>52</v>
      </c>
      <c r="F312">
        <v>4.45</v>
      </c>
      <c r="G312">
        <v>134249</v>
      </c>
      <c r="H312" t="s">
        <v>18</v>
      </c>
      <c r="I312">
        <v>1412.17</v>
      </c>
      <c r="J312">
        <v>847.30200000000002</v>
      </c>
      <c r="K312">
        <v>4.99</v>
      </c>
      <c r="L312">
        <v>330</v>
      </c>
      <c r="M312" t="s">
        <v>65</v>
      </c>
      <c r="N312">
        <v>283</v>
      </c>
    </row>
    <row r="313" spans="1:14" x14ac:dyDescent="0.3">
      <c r="A313">
        <v>2015</v>
      </c>
      <c r="B313" t="s">
        <v>594</v>
      </c>
      <c r="C313" t="s">
        <v>432</v>
      </c>
      <c r="D313" t="s">
        <v>22</v>
      </c>
      <c r="E313" t="s">
        <v>536</v>
      </c>
      <c r="F313">
        <v>4.29</v>
      </c>
      <c r="G313">
        <v>167848</v>
      </c>
      <c r="H313" t="s">
        <v>40</v>
      </c>
      <c r="I313">
        <v>3650.19</v>
      </c>
      <c r="J313">
        <v>2190.114</v>
      </c>
      <c r="K313">
        <v>12.99</v>
      </c>
      <c r="L313">
        <v>331</v>
      </c>
      <c r="M313" t="s">
        <v>26</v>
      </c>
      <c r="N313">
        <v>281</v>
      </c>
    </row>
    <row r="314" spans="1:14" x14ac:dyDescent="0.3">
      <c r="A314">
        <v>2012</v>
      </c>
      <c r="B314" t="s">
        <v>595</v>
      </c>
      <c r="C314" t="s">
        <v>596</v>
      </c>
      <c r="D314" t="s">
        <v>22</v>
      </c>
      <c r="E314" t="s">
        <v>536</v>
      </c>
      <c r="F314">
        <v>4.13</v>
      </c>
      <c r="G314">
        <v>76876</v>
      </c>
      <c r="H314" t="s">
        <v>18</v>
      </c>
      <c r="I314">
        <v>1387.22</v>
      </c>
      <c r="J314">
        <v>0</v>
      </c>
      <c r="K314">
        <v>4.99</v>
      </c>
      <c r="L314">
        <v>333</v>
      </c>
      <c r="M314" t="s">
        <v>26</v>
      </c>
      <c r="N314">
        <v>278</v>
      </c>
    </row>
    <row r="315" spans="1:14" x14ac:dyDescent="0.3">
      <c r="A315">
        <v>1989</v>
      </c>
      <c r="B315" t="s">
        <v>595</v>
      </c>
      <c r="C315" t="s">
        <v>597</v>
      </c>
      <c r="D315" t="s">
        <v>22</v>
      </c>
      <c r="E315" t="s">
        <v>536</v>
      </c>
      <c r="F315">
        <v>4.21</v>
      </c>
      <c r="G315">
        <v>105192</v>
      </c>
      <c r="H315" t="s">
        <v>29</v>
      </c>
      <c r="I315">
        <v>1097.25</v>
      </c>
      <c r="J315">
        <v>658.35</v>
      </c>
      <c r="K315">
        <v>3.99</v>
      </c>
      <c r="L315">
        <v>335</v>
      </c>
      <c r="M315" t="s">
        <v>65</v>
      </c>
      <c r="N315">
        <v>275</v>
      </c>
    </row>
    <row r="316" spans="1:14" x14ac:dyDescent="0.3">
      <c r="A316">
        <v>2009</v>
      </c>
      <c r="B316" t="s">
        <v>598</v>
      </c>
      <c r="C316" t="s">
        <v>599</v>
      </c>
      <c r="D316" t="s">
        <v>22</v>
      </c>
      <c r="E316" t="s">
        <v>536</v>
      </c>
      <c r="F316">
        <v>4.1900000000000004</v>
      </c>
      <c r="G316">
        <v>98628</v>
      </c>
      <c r="H316" t="s">
        <v>18</v>
      </c>
      <c r="I316">
        <v>2618.0700000000002</v>
      </c>
      <c r="J316">
        <v>1570.8420000000001</v>
      </c>
      <c r="K316">
        <v>9.59</v>
      </c>
      <c r="L316">
        <v>336</v>
      </c>
      <c r="M316" t="s">
        <v>19</v>
      </c>
      <c r="N316">
        <v>273</v>
      </c>
    </row>
    <row r="317" spans="1:14" x14ac:dyDescent="0.3">
      <c r="A317">
        <v>1950</v>
      </c>
      <c r="B317" t="s">
        <v>600</v>
      </c>
      <c r="C317" t="s">
        <v>601</v>
      </c>
      <c r="D317" t="s">
        <v>22</v>
      </c>
      <c r="E317" t="s">
        <v>536</v>
      </c>
      <c r="F317">
        <v>4.26</v>
      </c>
      <c r="G317">
        <v>116197</v>
      </c>
      <c r="H317" t="s">
        <v>18</v>
      </c>
      <c r="I317">
        <v>267.3</v>
      </c>
      <c r="J317">
        <v>0</v>
      </c>
      <c r="K317">
        <v>0.99</v>
      </c>
      <c r="L317">
        <v>338</v>
      </c>
      <c r="M317" t="s">
        <v>26</v>
      </c>
      <c r="N317">
        <v>270</v>
      </c>
    </row>
    <row r="318" spans="1:14" x14ac:dyDescent="0.3">
      <c r="A318">
        <v>1996</v>
      </c>
      <c r="B318" t="s">
        <v>602</v>
      </c>
      <c r="C318" t="s">
        <v>603</v>
      </c>
      <c r="D318" t="s">
        <v>16</v>
      </c>
      <c r="E318" t="s">
        <v>23</v>
      </c>
      <c r="F318">
        <v>3.84</v>
      </c>
      <c r="G318">
        <v>102733</v>
      </c>
      <c r="H318" t="s">
        <v>18</v>
      </c>
      <c r="I318">
        <v>267.3</v>
      </c>
      <c r="J318">
        <v>0</v>
      </c>
      <c r="K318">
        <v>0.99</v>
      </c>
      <c r="L318">
        <v>338</v>
      </c>
      <c r="M318" t="s">
        <v>26</v>
      </c>
      <c r="N318">
        <v>270</v>
      </c>
    </row>
    <row r="319" spans="1:14" x14ac:dyDescent="0.3">
      <c r="A319">
        <v>2001</v>
      </c>
      <c r="B319" t="s">
        <v>604</v>
      </c>
      <c r="C319" t="s">
        <v>605</v>
      </c>
      <c r="D319" t="s">
        <v>16</v>
      </c>
      <c r="E319" t="s">
        <v>23</v>
      </c>
      <c r="F319">
        <v>3.98</v>
      </c>
      <c r="G319">
        <v>99926</v>
      </c>
      <c r="H319" t="s">
        <v>40</v>
      </c>
      <c r="I319">
        <v>263.33999999999997</v>
      </c>
      <c r="J319">
        <v>0</v>
      </c>
      <c r="K319">
        <v>0.99</v>
      </c>
      <c r="L319">
        <v>340</v>
      </c>
      <c r="M319" t="s">
        <v>26</v>
      </c>
      <c r="N319">
        <v>266</v>
      </c>
    </row>
    <row r="320" spans="1:14" x14ac:dyDescent="0.3">
      <c r="A320">
        <v>1999</v>
      </c>
      <c r="B320" t="s">
        <v>606</v>
      </c>
      <c r="C320" t="s">
        <v>607</v>
      </c>
      <c r="D320" t="s">
        <v>22</v>
      </c>
      <c r="E320" t="s">
        <v>23</v>
      </c>
      <c r="F320">
        <v>3.74</v>
      </c>
      <c r="G320">
        <v>112733</v>
      </c>
      <c r="H320" t="s">
        <v>18</v>
      </c>
      <c r="I320">
        <v>997.5</v>
      </c>
      <c r="J320">
        <v>0</v>
      </c>
      <c r="K320">
        <v>3.75</v>
      </c>
      <c r="L320">
        <v>340</v>
      </c>
      <c r="M320" t="s">
        <v>26</v>
      </c>
      <c r="N320">
        <v>266</v>
      </c>
    </row>
    <row r="321" spans="1:14" x14ac:dyDescent="0.3">
      <c r="A321">
        <v>2012</v>
      </c>
      <c r="B321" t="s">
        <v>608</v>
      </c>
      <c r="C321" t="s">
        <v>609</v>
      </c>
      <c r="D321" t="s">
        <v>22</v>
      </c>
      <c r="E321" t="s">
        <v>23</v>
      </c>
      <c r="F321">
        <v>3.75</v>
      </c>
      <c r="G321">
        <v>110552</v>
      </c>
      <c r="H321" t="s">
        <v>18</v>
      </c>
      <c r="I321">
        <v>1719.85</v>
      </c>
      <c r="J321">
        <v>1031.9100000000001</v>
      </c>
      <c r="K321">
        <v>6.49</v>
      </c>
      <c r="L321">
        <v>341</v>
      </c>
      <c r="M321" t="s">
        <v>30</v>
      </c>
      <c r="N321">
        <v>265</v>
      </c>
    </row>
    <row r="322" spans="1:14" x14ac:dyDescent="0.3">
      <c r="A322">
        <v>1979</v>
      </c>
      <c r="B322" t="s">
        <v>610</v>
      </c>
      <c r="C322" t="s">
        <v>611</v>
      </c>
      <c r="D322" t="s">
        <v>22</v>
      </c>
      <c r="E322" t="s">
        <v>23</v>
      </c>
      <c r="F322">
        <v>3.79</v>
      </c>
      <c r="G322">
        <v>109063</v>
      </c>
      <c r="H322" t="s">
        <v>612</v>
      </c>
      <c r="I322">
        <v>1877.82</v>
      </c>
      <c r="J322">
        <v>1126.692</v>
      </c>
      <c r="K322">
        <v>7.14</v>
      </c>
      <c r="L322">
        <v>342</v>
      </c>
      <c r="M322" t="s">
        <v>26</v>
      </c>
      <c r="N322">
        <v>263</v>
      </c>
    </row>
    <row r="323" spans="1:14" x14ac:dyDescent="0.3">
      <c r="A323">
        <v>2016</v>
      </c>
      <c r="B323" t="s">
        <v>613</v>
      </c>
      <c r="C323" t="s">
        <v>614</v>
      </c>
      <c r="D323" t="s">
        <v>22</v>
      </c>
      <c r="E323" t="s">
        <v>536</v>
      </c>
      <c r="F323">
        <v>4.32</v>
      </c>
      <c r="G323">
        <v>116771</v>
      </c>
      <c r="H323" t="s">
        <v>18</v>
      </c>
      <c r="I323">
        <v>1041.3900000000001</v>
      </c>
      <c r="J323">
        <v>0</v>
      </c>
      <c r="K323">
        <v>3.99</v>
      </c>
      <c r="L323">
        <v>343</v>
      </c>
      <c r="M323" t="s">
        <v>26</v>
      </c>
      <c r="N323">
        <v>261</v>
      </c>
    </row>
    <row r="324" spans="1:14" x14ac:dyDescent="0.3">
      <c r="A324">
        <v>1990</v>
      </c>
      <c r="B324" t="s">
        <v>615</v>
      </c>
      <c r="C324" t="s">
        <v>616</v>
      </c>
      <c r="D324" t="s">
        <v>22</v>
      </c>
      <c r="E324" t="s">
        <v>23</v>
      </c>
      <c r="F324">
        <v>3.86</v>
      </c>
      <c r="G324">
        <v>99831</v>
      </c>
      <c r="H324" t="s">
        <v>18</v>
      </c>
      <c r="I324">
        <v>777.4</v>
      </c>
      <c r="J324">
        <v>0</v>
      </c>
      <c r="K324">
        <v>2.99</v>
      </c>
      <c r="L324">
        <v>344</v>
      </c>
      <c r="M324" t="s">
        <v>26</v>
      </c>
      <c r="N324">
        <v>260</v>
      </c>
    </row>
    <row r="325" spans="1:14" x14ac:dyDescent="0.3">
      <c r="A325">
        <v>1999</v>
      </c>
      <c r="B325" t="s">
        <v>617</v>
      </c>
      <c r="C325" t="s">
        <v>618</v>
      </c>
      <c r="D325" t="s">
        <v>22</v>
      </c>
      <c r="E325" t="s">
        <v>23</v>
      </c>
      <c r="F325">
        <v>4</v>
      </c>
      <c r="G325">
        <v>54937</v>
      </c>
      <c r="H325" t="s">
        <v>18</v>
      </c>
      <c r="I325">
        <v>771.42</v>
      </c>
      <c r="J325">
        <v>462.85199999999998</v>
      </c>
      <c r="K325">
        <v>2.99</v>
      </c>
      <c r="L325">
        <v>345</v>
      </c>
      <c r="M325" t="s">
        <v>65</v>
      </c>
      <c r="N325">
        <v>258</v>
      </c>
    </row>
    <row r="326" spans="1:14" x14ac:dyDescent="0.3">
      <c r="A326">
        <v>1601</v>
      </c>
      <c r="B326" t="s">
        <v>619</v>
      </c>
      <c r="C326" t="s">
        <v>365</v>
      </c>
      <c r="D326" t="s">
        <v>22</v>
      </c>
      <c r="E326" t="s">
        <v>23</v>
      </c>
      <c r="F326">
        <v>3.97</v>
      </c>
      <c r="G326">
        <v>119607</v>
      </c>
      <c r="H326" t="s">
        <v>18</v>
      </c>
      <c r="I326">
        <v>1527.45</v>
      </c>
      <c r="J326">
        <v>916.47</v>
      </c>
      <c r="K326">
        <v>5.99</v>
      </c>
      <c r="L326">
        <v>347</v>
      </c>
      <c r="M326" t="s">
        <v>33</v>
      </c>
      <c r="N326">
        <v>255</v>
      </c>
    </row>
    <row r="327" spans="1:14" x14ac:dyDescent="0.3">
      <c r="A327">
        <v>2000</v>
      </c>
      <c r="B327" t="s">
        <v>620</v>
      </c>
      <c r="C327" t="s">
        <v>621</v>
      </c>
      <c r="D327" t="s">
        <v>22</v>
      </c>
      <c r="E327" t="s">
        <v>23</v>
      </c>
      <c r="F327">
        <v>3.8</v>
      </c>
      <c r="G327">
        <v>114917</v>
      </c>
      <c r="H327" t="s">
        <v>18</v>
      </c>
      <c r="I327">
        <v>997.5</v>
      </c>
      <c r="J327">
        <v>0</v>
      </c>
      <c r="K327">
        <v>3.99</v>
      </c>
      <c r="L327">
        <v>350</v>
      </c>
      <c r="M327" t="s">
        <v>26</v>
      </c>
      <c r="N327">
        <v>250</v>
      </c>
    </row>
    <row r="328" spans="1:14" x14ac:dyDescent="0.3">
      <c r="A328">
        <v>1978</v>
      </c>
      <c r="B328" t="s">
        <v>622</v>
      </c>
      <c r="C328" t="s">
        <v>623</v>
      </c>
      <c r="D328" t="s">
        <v>22</v>
      </c>
      <c r="E328" t="s">
        <v>536</v>
      </c>
      <c r="F328">
        <v>4.03</v>
      </c>
      <c r="G328">
        <v>117108</v>
      </c>
      <c r="H328" t="s">
        <v>18</v>
      </c>
      <c r="I328">
        <v>997.5</v>
      </c>
      <c r="J328">
        <v>598.5</v>
      </c>
      <c r="K328">
        <v>3.99</v>
      </c>
      <c r="L328">
        <v>350</v>
      </c>
      <c r="M328" t="s">
        <v>26</v>
      </c>
      <c r="N328">
        <v>250</v>
      </c>
    </row>
    <row r="329" spans="1:14" x14ac:dyDescent="0.3">
      <c r="A329">
        <v>2014</v>
      </c>
      <c r="B329" t="s">
        <v>624</v>
      </c>
      <c r="C329" t="s">
        <v>625</v>
      </c>
      <c r="D329" t="s">
        <v>22</v>
      </c>
      <c r="E329" t="s">
        <v>536</v>
      </c>
      <c r="F329">
        <v>4.26</v>
      </c>
      <c r="G329">
        <v>104939</v>
      </c>
      <c r="H329" t="s">
        <v>18</v>
      </c>
      <c r="I329">
        <v>246.51</v>
      </c>
      <c r="J329">
        <v>147.90600000000001</v>
      </c>
      <c r="K329">
        <v>0.99</v>
      </c>
      <c r="L329">
        <v>351</v>
      </c>
      <c r="M329" t="s">
        <v>26</v>
      </c>
      <c r="N329">
        <v>249</v>
      </c>
    </row>
    <row r="330" spans="1:14" x14ac:dyDescent="0.3">
      <c r="A330">
        <v>2008</v>
      </c>
      <c r="B330" t="s">
        <v>626</v>
      </c>
      <c r="C330" t="s">
        <v>627</v>
      </c>
      <c r="D330" t="s">
        <v>16</v>
      </c>
      <c r="E330" t="s">
        <v>536</v>
      </c>
      <c r="F330">
        <v>4.1500000000000004</v>
      </c>
      <c r="G330">
        <v>109236</v>
      </c>
      <c r="H330" t="s">
        <v>18</v>
      </c>
      <c r="I330">
        <v>744.51</v>
      </c>
      <c r="J330">
        <v>446.70600000000002</v>
      </c>
      <c r="K330">
        <v>2.99</v>
      </c>
      <c r="L330">
        <v>351</v>
      </c>
      <c r="M330" t="s">
        <v>45</v>
      </c>
      <c r="N330">
        <v>249</v>
      </c>
    </row>
    <row r="331" spans="1:14" x14ac:dyDescent="0.3">
      <c r="A331">
        <v>1988</v>
      </c>
      <c r="B331" t="s">
        <v>628</v>
      </c>
      <c r="C331" t="s">
        <v>629</v>
      </c>
      <c r="D331" t="s">
        <v>22</v>
      </c>
      <c r="E331" t="s">
        <v>23</v>
      </c>
      <c r="F331">
        <v>3.94</v>
      </c>
      <c r="G331">
        <v>105032</v>
      </c>
      <c r="H331" t="s">
        <v>612</v>
      </c>
      <c r="I331">
        <v>1635.93</v>
      </c>
      <c r="J331">
        <v>981.55799999999999</v>
      </c>
      <c r="K331">
        <v>6.57</v>
      </c>
      <c r="L331">
        <v>352</v>
      </c>
      <c r="M331" t="s">
        <v>26</v>
      </c>
      <c r="N331">
        <v>249</v>
      </c>
    </row>
    <row r="332" spans="1:14" x14ac:dyDescent="0.3">
      <c r="A332">
        <v>2013</v>
      </c>
      <c r="B332" t="s">
        <v>630</v>
      </c>
      <c r="C332" t="s">
        <v>631</v>
      </c>
      <c r="D332" t="s">
        <v>22</v>
      </c>
      <c r="E332" t="s">
        <v>536</v>
      </c>
      <c r="F332">
        <v>4.2300000000000004</v>
      </c>
      <c r="G332">
        <v>134022</v>
      </c>
      <c r="H332" t="s">
        <v>18</v>
      </c>
      <c r="I332">
        <v>3221.52</v>
      </c>
      <c r="J332">
        <v>0</v>
      </c>
      <c r="K332">
        <v>12.99</v>
      </c>
      <c r="L332">
        <v>353</v>
      </c>
      <c r="M332" t="s">
        <v>26</v>
      </c>
      <c r="N332">
        <v>248</v>
      </c>
    </row>
    <row r="333" spans="1:14" x14ac:dyDescent="0.3">
      <c r="A333">
        <v>2014</v>
      </c>
      <c r="B333" t="s">
        <v>632</v>
      </c>
      <c r="C333" t="s">
        <v>90</v>
      </c>
      <c r="D333" t="s">
        <v>22</v>
      </c>
      <c r="E333" t="s">
        <v>52</v>
      </c>
      <c r="F333">
        <v>4.7699999999999996</v>
      </c>
      <c r="G333">
        <v>73572</v>
      </c>
      <c r="H333" t="s">
        <v>18</v>
      </c>
      <c r="I333">
        <v>741.52</v>
      </c>
      <c r="J333">
        <v>444.91199999999998</v>
      </c>
      <c r="K333">
        <v>2.99</v>
      </c>
      <c r="L333">
        <v>354</v>
      </c>
      <c r="M333" t="s">
        <v>19</v>
      </c>
      <c r="N333">
        <v>248</v>
      </c>
    </row>
    <row r="334" spans="1:14" x14ac:dyDescent="0.3">
      <c r="A334">
        <v>1988</v>
      </c>
      <c r="B334" t="s">
        <v>633</v>
      </c>
      <c r="C334" t="s">
        <v>634</v>
      </c>
      <c r="D334" t="s">
        <v>16</v>
      </c>
      <c r="E334" t="s">
        <v>536</v>
      </c>
      <c r="F334">
        <v>4.3600000000000003</v>
      </c>
      <c r="G334">
        <v>104690</v>
      </c>
      <c r="H334" t="s">
        <v>18</v>
      </c>
      <c r="I334">
        <v>738.53</v>
      </c>
      <c r="J334">
        <v>0</v>
      </c>
      <c r="K334">
        <v>2.99</v>
      </c>
      <c r="L334">
        <v>355</v>
      </c>
      <c r="M334" t="s">
        <v>26</v>
      </c>
      <c r="N334">
        <v>247</v>
      </c>
    </row>
    <row r="335" spans="1:14" x14ac:dyDescent="0.3">
      <c r="A335">
        <v>2001</v>
      </c>
      <c r="B335" t="s">
        <v>635</v>
      </c>
      <c r="C335" t="s">
        <v>75</v>
      </c>
      <c r="D335" t="s">
        <v>22</v>
      </c>
      <c r="E335" t="s">
        <v>536</v>
      </c>
      <c r="F335">
        <v>4.26</v>
      </c>
      <c r="G335">
        <v>103552</v>
      </c>
      <c r="H335" t="s">
        <v>18</v>
      </c>
      <c r="I335">
        <v>1141.1400000000001</v>
      </c>
      <c r="J335">
        <v>684.68399999999997</v>
      </c>
      <c r="K335">
        <v>4.62</v>
      </c>
      <c r="L335">
        <v>356</v>
      </c>
      <c r="M335" t="s">
        <v>33</v>
      </c>
      <c r="N335">
        <v>247</v>
      </c>
    </row>
    <row r="336" spans="1:14" x14ac:dyDescent="0.3">
      <c r="A336">
        <v>1978</v>
      </c>
      <c r="B336" t="s">
        <v>636</v>
      </c>
      <c r="C336" t="s">
        <v>637</v>
      </c>
      <c r="D336" t="s">
        <v>92</v>
      </c>
      <c r="E336" t="s">
        <v>23</v>
      </c>
      <c r="F336">
        <v>3.96</v>
      </c>
      <c r="G336">
        <v>104248</v>
      </c>
      <c r="H336" t="s">
        <v>18</v>
      </c>
      <c r="I336">
        <v>244.53</v>
      </c>
      <c r="J336">
        <v>146.71799999999999</v>
      </c>
      <c r="K336">
        <v>0.99</v>
      </c>
      <c r="L336">
        <v>356</v>
      </c>
      <c r="M336" t="s">
        <v>26</v>
      </c>
      <c r="N336">
        <v>247</v>
      </c>
    </row>
    <row r="337" spans="1:14" x14ac:dyDescent="0.3">
      <c r="A337">
        <v>1974</v>
      </c>
      <c r="B337" t="s">
        <v>638</v>
      </c>
      <c r="C337" t="s">
        <v>639</v>
      </c>
      <c r="D337" t="s">
        <v>22</v>
      </c>
      <c r="E337" t="s">
        <v>23</v>
      </c>
      <c r="F337">
        <v>3.96</v>
      </c>
      <c r="G337">
        <v>102574</v>
      </c>
      <c r="H337" t="s">
        <v>18</v>
      </c>
      <c r="I337">
        <v>1227.54</v>
      </c>
      <c r="J337">
        <v>736.524</v>
      </c>
      <c r="K337">
        <v>4.99</v>
      </c>
      <c r="L337">
        <v>357</v>
      </c>
      <c r="M337" t="s">
        <v>65</v>
      </c>
      <c r="N337">
        <v>246</v>
      </c>
    </row>
    <row r="338" spans="1:14" x14ac:dyDescent="0.3">
      <c r="A338">
        <v>2005</v>
      </c>
      <c r="B338" t="s">
        <v>640</v>
      </c>
      <c r="C338" t="s">
        <v>641</v>
      </c>
      <c r="D338" t="s">
        <v>22</v>
      </c>
      <c r="E338" t="s">
        <v>23</v>
      </c>
      <c r="F338">
        <v>3.91</v>
      </c>
      <c r="G338">
        <v>98379</v>
      </c>
      <c r="H338" t="s">
        <v>18</v>
      </c>
      <c r="I338">
        <v>977.55</v>
      </c>
      <c r="J338">
        <v>0</v>
      </c>
      <c r="K338">
        <v>3.99</v>
      </c>
      <c r="L338">
        <v>359</v>
      </c>
      <c r="M338" t="s">
        <v>26</v>
      </c>
      <c r="N338">
        <v>245</v>
      </c>
    </row>
    <row r="339" spans="1:14" x14ac:dyDescent="0.3">
      <c r="A339">
        <v>1945</v>
      </c>
      <c r="B339" t="s">
        <v>642</v>
      </c>
      <c r="C339" t="s">
        <v>643</v>
      </c>
      <c r="D339" t="s">
        <v>22</v>
      </c>
      <c r="E339" t="s">
        <v>536</v>
      </c>
      <c r="F339">
        <v>4.1100000000000003</v>
      </c>
      <c r="G339">
        <v>123065</v>
      </c>
      <c r="H339" t="s">
        <v>18</v>
      </c>
      <c r="I339">
        <v>977.55</v>
      </c>
      <c r="J339">
        <v>586.53</v>
      </c>
      <c r="K339">
        <v>3.99</v>
      </c>
      <c r="L339">
        <v>360</v>
      </c>
      <c r="M339" t="s">
        <v>26</v>
      </c>
      <c r="N339">
        <v>245</v>
      </c>
    </row>
    <row r="340" spans="1:14" x14ac:dyDescent="0.3">
      <c r="A340">
        <v>2006</v>
      </c>
      <c r="B340" t="s">
        <v>644</v>
      </c>
      <c r="C340" t="s">
        <v>645</v>
      </c>
      <c r="D340" t="s">
        <v>22</v>
      </c>
      <c r="E340" t="s">
        <v>23</v>
      </c>
      <c r="F340">
        <v>3.73</v>
      </c>
      <c r="G340">
        <v>101669</v>
      </c>
      <c r="H340" t="s">
        <v>18</v>
      </c>
      <c r="I340">
        <v>1698.57</v>
      </c>
      <c r="J340">
        <v>1019.1420000000001</v>
      </c>
      <c r="K340">
        <v>6.99</v>
      </c>
      <c r="L340">
        <v>363</v>
      </c>
      <c r="M340" t="s">
        <v>30</v>
      </c>
      <c r="N340">
        <v>243</v>
      </c>
    </row>
    <row r="341" spans="1:14" x14ac:dyDescent="0.3">
      <c r="A341">
        <v>2005</v>
      </c>
      <c r="B341" t="s">
        <v>646</v>
      </c>
      <c r="C341" t="s">
        <v>647</v>
      </c>
      <c r="D341" t="s">
        <v>22</v>
      </c>
      <c r="E341" t="s">
        <v>536</v>
      </c>
      <c r="F341">
        <v>4.3</v>
      </c>
      <c r="G341">
        <v>102923</v>
      </c>
      <c r="H341" t="s">
        <v>18</v>
      </c>
      <c r="I341">
        <v>726.57</v>
      </c>
      <c r="J341">
        <v>435.94200000000001</v>
      </c>
      <c r="K341">
        <v>2.99</v>
      </c>
      <c r="L341">
        <v>364</v>
      </c>
      <c r="M341" t="s">
        <v>26</v>
      </c>
      <c r="N341">
        <v>243</v>
      </c>
    </row>
    <row r="342" spans="1:14" x14ac:dyDescent="0.3">
      <c r="A342">
        <v>2010</v>
      </c>
      <c r="B342" t="s">
        <v>648</v>
      </c>
      <c r="C342" t="s">
        <v>82</v>
      </c>
      <c r="D342" t="s">
        <v>16</v>
      </c>
      <c r="E342" t="s">
        <v>23</v>
      </c>
      <c r="F342">
        <v>3.88</v>
      </c>
      <c r="G342">
        <v>127379</v>
      </c>
      <c r="H342" t="s">
        <v>18</v>
      </c>
      <c r="I342">
        <v>1494.45</v>
      </c>
      <c r="J342">
        <v>896.67</v>
      </c>
      <c r="K342">
        <v>6.15</v>
      </c>
      <c r="L342">
        <v>364</v>
      </c>
      <c r="M342" t="s">
        <v>26</v>
      </c>
      <c r="N342">
        <v>243</v>
      </c>
    </row>
    <row r="343" spans="1:14" x14ac:dyDescent="0.3">
      <c r="A343">
        <v>1947</v>
      </c>
      <c r="B343" t="s">
        <v>649</v>
      </c>
      <c r="C343" t="s">
        <v>650</v>
      </c>
      <c r="D343" t="s">
        <v>16</v>
      </c>
      <c r="E343" t="s">
        <v>23</v>
      </c>
      <c r="F343">
        <v>3.97</v>
      </c>
      <c r="G343">
        <v>95803</v>
      </c>
      <c r="H343" t="s">
        <v>18</v>
      </c>
      <c r="I343">
        <v>965.58</v>
      </c>
      <c r="J343">
        <v>0</v>
      </c>
      <c r="K343">
        <v>3.99</v>
      </c>
      <c r="L343">
        <v>366</v>
      </c>
      <c r="M343" t="s">
        <v>26</v>
      </c>
      <c r="N343">
        <v>242</v>
      </c>
    </row>
    <row r="344" spans="1:14" x14ac:dyDescent="0.3">
      <c r="A344">
        <v>1999</v>
      </c>
      <c r="B344" t="s">
        <v>651</v>
      </c>
      <c r="C344" t="s">
        <v>652</v>
      </c>
      <c r="D344" t="s">
        <v>22</v>
      </c>
      <c r="E344" t="s">
        <v>23</v>
      </c>
      <c r="F344">
        <v>3.95</v>
      </c>
      <c r="G344">
        <v>130213</v>
      </c>
      <c r="H344" t="s">
        <v>18</v>
      </c>
      <c r="I344">
        <v>1202.5899999999999</v>
      </c>
      <c r="J344">
        <v>721.55399999999997</v>
      </c>
      <c r="K344">
        <v>4.99</v>
      </c>
      <c r="L344">
        <v>367</v>
      </c>
      <c r="M344" t="s">
        <v>65</v>
      </c>
      <c r="N344">
        <v>241</v>
      </c>
    </row>
    <row r="345" spans="1:14" x14ac:dyDescent="0.3">
      <c r="A345">
        <v>2012</v>
      </c>
      <c r="B345" t="s">
        <v>653</v>
      </c>
      <c r="C345" t="s">
        <v>654</v>
      </c>
      <c r="D345" t="s">
        <v>22</v>
      </c>
      <c r="E345" t="s">
        <v>23</v>
      </c>
      <c r="F345">
        <v>4</v>
      </c>
      <c r="G345">
        <v>92849</v>
      </c>
      <c r="H345" t="s">
        <v>18</v>
      </c>
      <c r="I345">
        <v>2566.65</v>
      </c>
      <c r="J345">
        <v>1539.99</v>
      </c>
      <c r="K345">
        <v>10.65</v>
      </c>
      <c r="L345">
        <v>368</v>
      </c>
      <c r="M345" t="s">
        <v>30</v>
      </c>
      <c r="N345">
        <v>241</v>
      </c>
    </row>
    <row r="346" spans="1:14" x14ac:dyDescent="0.3">
      <c r="A346">
        <v>2007</v>
      </c>
      <c r="B346" t="s">
        <v>655</v>
      </c>
      <c r="C346" t="s">
        <v>656</v>
      </c>
      <c r="D346" t="s">
        <v>16</v>
      </c>
      <c r="E346" t="s">
        <v>23</v>
      </c>
      <c r="F346">
        <v>3.69</v>
      </c>
      <c r="G346">
        <v>131034</v>
      </c>
      <c r="H346" t="s">
        <v>18</v>
      </c>
      <c r="I346">
        <v>1197.5999999999999</v>
      </c>
      <c r="J346">
        <v>718.56</v>
      </c>
      <c r="K346">
        <v>4.99</v>
      </c>
      <c r="L346">
        <v>370</v>
      </c>
      <c r="M346" t="s">
        <v>65</v>
      </c>
      <c r="N346">
        <v>240</v>
      </c>
    </row>
    <row r="347" spans="1:14" x14ac:dyDescent="0.3">
      <c r="A347">
        <v>1941</v>
      </c>
      <c r="B347" t="s">
        <v>657</v>
      </c>
      <c r="C347" t="s">
        <v>658</v>
      </c>
      <c r="D347" t="s">
        <v>144</v>
      </c>
      <c r="E347" t="s">
        <v>536</v>
      </c>
      <c r="F347">
        <v>4.13</v>
      </c>
      <c r="G347">
        <v>105473</v>
      </c>
      <c r="H347" t="s">
        <v>18</v>
      </c>
      <c r="I347">
        <v>236.61</v>
      </c>
      <c r="J347">
        <v>141.96600000000001</v>
      </c>
      <c r="K347">
        <v>0.99</v>
      </c>
      <c r="L347">
        <v>371</v>
      </c>
      <c r="M347" t="s">
        <v>26</v>
      </c>
      <c r="N347">
        <v>239</v>
      </c>
    </row>
    <row r="348" spans="1:14" x14ac:dyDescent="0.3">
      <c r="A348">
        <v>1979</v>
      </c>
      <c r="B348" t="s">
        <v>659</v>
      </c>
      <c r="C348" t="s">
        <v>660</v>
      </c>
      <c r="D348" t="s">
        <v>22</v>
      </c>
      <c r="E348" t="s">
        <v>536</v>
      </c>
      <c r="F348">
        <v>4.17</v>
      </c>
      <c r="G348">
        <v>109110</v>
      </c>
      <c r="H348" t="s">
        <v>18</v>
      </c>
      <c r="I348">
        <v>953.61</v>
      </c>
      <c r="J348">
        <v>0</v>
      </c>
      <c r="K348">
        <v>3.99</v>
      </c>
      <c r="L348">
        <v>372</v>
      </c>
      <c r="M348" t="s">
        <v>26</v>
      </c>
      <c r="N348">
        <v>239</v>
      </c>
    </row>
    <row r="349" spans="1:14" x14ac:dyDescent="0.3">
      <c r="A349">
        <v>1998</v>
      </c>
      <c r="B349" t="s">
        <v>661</v>
      </c>
      <c r="C349" t="s">
        <v>662</v>
      </c>
      <c r="D349" t="s">
        <v>92</v>
      </c>
      <c r="E349" t="s">
        <v>536</v>
      </c>
      <c r="F349">
        <v>4.12</v>
      </c>
      <c r="G349">
        <v>98276</v>
      </c>
      <c r="H349" t="s">
        <v>18</v>
      </c>
      <c r="I349">
        <v>1544.62</v>
      </c>
      <c r="J349">
        <v>926.77200000000005</v>
      </c>
      <c r="K349">
        <v>6.49</v>
      </c>
      <c r="L349">
        <v>373</v>
      </c>
      <c r="M349" t="s">
        <v>45</v>
      </c>
      <c r="N349">
        <v>238</v>
      </c>
    </row>
    <row r="350" spans="1:14" x14ac:dyDescent="0.3">
      <c r="A350">
        <v>1906</v>
      </c>
      <c r="B350" t="s">
        <v>663</v>
      </c>
      <c r="C350" t="s">
        <v>664</v>
      </c>
      <c r="D350" t="s">
        <v>22</v>
      </c>
      <c r="E350" t="s">
        <v>23</v>
      </c>
      <c r="F350">
        <v>3.72</v>
      </c>
      <c r="G350">
        <v>97468</v>
      </c>
      <c r="H350" t="s">
        <v>18</v>
      </c>
      <c r="I350">
        <v>1419.63</v>
      </c>
      <c r="J350">
        <v>851.77800000000002</v>
      </c>
      <c r="K350">
        <v>5.99</v>
      </c>
      <c r="L350">
        <v>375</v>
      </c>
      <c r="M350" t="s">
        <v>45</v>
      </c>
      <c r="N350">
        <v>237</v>
      </c>
    </row>
    <row r="351" spans="1:14" x14ac:dyDescent="0.3">
      <c r="A351">
        <v>2008</v>
      </c>
      <c r="B351" t="s">
        <v>665</v>
      </c>
      <c r="C351" t="s">
        <v>666</v>
      </c>
      <c r="D351" t="s">
        <v>16</v>
      </c>
      <c r="E351" t="s">
        <v>536</v>
      </c>
      <c r="F351">
        <v>4.03</v>
      </c>
      <c r="G351">
        <v>132285</v>
      </c>
      <c r="H351" t="s">
        <v>18</v>
      </c>
      <c r="I351">
        <v>471.63</v>
      </c>
      <c r="J351">
        <v>0</v>
      </c>
      <c r="K351">
        <v>1.99</v>
      </c>
      <c r="L351">
        <v>376</v>
      </c>
      <c r="M351" t="s">
        <v>26</v>
      </c>
      <c r="N351">
        <v>237</v>
      </c>
    </row>
    <row r="352" spans="1:14" x14ac:dyDescent="0.3">
      <c r="A352">
        <v>1985</v>
      </c>
      <c r="B352" t="s">
        <v>667</v>
      </c>
      <c r="C352" t="s">
        <v>668</v>
      </c>
      <c r="D352" t="s">
        <v>16</v>
      </c>
      <c r="E352" t="s">
        <v>536</v>
      </c>
      <c r="F352">
        <v>4.04</v>
      </c>
      <c r="G352">
        <v>102419</v>
      </c>
      <c r="H352" t="s">
        <v>40</v>
      </c>
      <c r="I352">
        <v>1182.6300000000001</v>
      </c>
      <c r="J352">
        <v>709.57799999999997</v>
      </c>
      <c r="K352">
        <v>4.99</v>
      </c>
      <c r="L352">
        <v>376</v>
      </c>
      <c r="M352" t="s">
        <v>45</v>
      </c>
      <c r="N352">
        <v>237</v>
      </c>
    </row>
    <row r="353" spans="1:14" x14ac:dyDescent="0.3">
      <c r="A353">
        <v>1978</v>
      </c>
      <c r="B353" t="s">
        <v>669</v>
      </c>
      <c r="C353" t="s">
        <v>239</v>
      </c>
      <c r="D353" t="s">
        <v>16</v>
      </c>
      <c r="E353" t="s">
        <v>536</v>
      </c>
      <c r="F353">
        <v>4.16</v>
      </c>
      <c r="G353">
        <v>93475</v>
      </c>
      <c r="H353" t="s">
        <v>29</v>
      </c>
      <c r="I353">
        <v>708.63</v>
      </c>
      <c r="J353">
        <v>0</v>
      </c>
      <c r="K353">
        <v>2.99</v>
      </c>
      <c r="L353">
        <v>376</v>
      </c>
      <c r="M353" t="s">
        <v>26</v>
      </c>
      <c r="N353">
        <v>237</v>
      </c>
    </row>
    <row r="354" spans="1:14" x14ac:dyDescent="0.3">
      <c r="A354">
        <v>2000</v>
      </c>
      <c r="B354" t="s">
        <v>670</v>
      </c>
      <c r="C354" t="s">
        <v>107</v>
      </c>
      <c r="D354" t="s">
        <v>22</v>
      </c>
      <c r="E354" t="s">
        <v>23</v>
      </c>
      <c r="F354">
        <v>3.95</v>
      </c>
      <c r="G354">
        <v>98464</v>
      </c>
      <c r="H354" t="s">
        <v>40</v>
      </c>
      <c r="I354">
        <v>1885.64</v>
      </c>
      <c r="J354">
        <v>1131.384</v>
      </c>
      <c r="K354">
        <v>7.99</v>
      </c>
      <c r="L354">
        <v>378</v>
      </c>
      <c r="M354" t="s">
        <v>582</v>
      </c>
      <c r="N354">
        <v>236</v>
      </c>
    </row>
    <row r="355" spans="1:14" x14ac:dyDescent="0.3">
      <c r="A355">
        <v>2014</v>
      </c>
      <c r="B355" t="s">
        <v>671</v>
      </c>
      <c r="C355" t="s">
        <v>672</v>
      </c>
      <c r="D355" t="s">
        <v>22</v>
      </c>
      <c r="E355" t="s">
        <v>536</v>
      </c>
      <c r="F355">
        <v>4.07</v>
      </c>
      <c r="G355">
        <v>73149</v>
      </c>
      <c r="H355" t="s">
        <v>18</v>
      </c>
      <c r="I355">
        <v>1642.65</v>
      </c>
      <c r="J355">
        <v>985.59</v>
      </c>
      <c r="K355">
        <v>6.99</v>
      </c>
      <c r="L355">
        <v>380</v>
      </c>
      <c r="M355" t="s">
        <v>33</v>
      </c>
      <c r="N355">
        <v>235</v>
      </c>
    </row>
    <row r="356" spans="1:14" x14ac:dyDescent="0.3">
      <c r="A356">
        <v>1999</v>
      </c>
      <c r="B356" t="s">
        <v>673</v>
      </c>
      <c r="C356" t="s">
        <v>674</v>
      </c>
      <c r="D356" t="s">
        <v>22</v>
      </c>
      <c r="E356" t="s">
        <v>23</v>
      </c>
      <c r="F356">
        <v>3.83</v>
      </c>
      <c r="G356">
        <v>55381</v>
      </c>
      <c r="H356" t="s">
        <v>18</v>
      </c>
      <c r="I356">
        <v>933.66</v>
      </c>
      <c r="J356">
        <v>560.19600000000003</v>
      </c>
      <c r="K356">
        <v>3.99</v>
      </c>
      <c r="L356">
        <v>381</v>
      </c>
      <c r="M356" t="s">
        <v>26</v>
      </c>
      <c r="N356">
        <v>234</v>
      </c>
    </row>
    <row r="357" spans="1:14" x14ac:dyDescent="0.3">
      <c r="A357">
        <v>2014</v>
      </c>
      <c r="B357" t="s">
        <v>675</v>
      </c>
      <c r="C357" t="s">
        <v>676</v>
      </c>
      <c r="D357" t="s">
        <v>22</v>
      </c>
      <c r="E357" t="s">
        <v>23</v>
      </c>
      <c r="F357">
        <v>3.93</v>
      </c>
      <c r="G357">
        <v>99729</v>
      </c>
      <c r="H357" t="s">
        <v>18</v>
      </c>
      <c r="I357">
        <v>463.67</v>
      </c>
      <c r="J357">
        <v>278.202</v>
      </c>
      <c r="K357">
        <v>1.99</v>
      </c>
      <c r="L357">
        <v>383</v>
      </c>
      <c r="M357" t="s">
        <v>65</v>
      </c>
      <c r="N357">
        <v>233</v>
      </c>
    </row>
    <row r="358" spans="1:14" x14ac:dyDescent="0.3">
      <c r="A358">
        <v>1930</v>
      </c>
      <c r="B358" t="s">
        <v>677</v>
      </c>
      <c r="C358" t="s">
        <v>371</v>
      </c>
      <c r="D358" t="s">
        <v>22</v>
      </c>
      <c r="E358" t="s">
        <v>23</v>
      </c>
      <c r="F358">
        <v>3.72</v>
      </c>
      <c r="G358">
        <v>103547</v>
      </c>
      <c r="H358" t="s">
        <v>40</v>
      </c>
      <c r="I358">
        <v>461.68</v>
      </c>
      <c r="J358">
        <v>277.00799999999998</v>
      </c>
      <c r="K358">
        <v>1.99</v>
      </c>
      <c r="L358">
        <v>385</v>
      </c>
      <c r="M358" t="s">
        <v>19</v>
      </c>
      <c r="N358">
        <v>6264</v>
      </c>
    </row>
    <row r="359" spans="1:14" x14ac:dyDescent="0.3">
      <c r="A359">
        <v>1955</v>
      </c>
      <c r="B359" t="s">
        <v>678</v>
      </c>
      <c r="C359" t="s">
        <v>679</v>
      </c>
      <c r="D359" t="s">
        <v>22</v>
      </c>
      <c r="E359" t="s">
        <v>536</v>
      </c>
      <c r="F359">
        <v>4.24</v>
      </c>
      <c r="G359">
        <v>107221</v>
      </c>
      <c r="H359" t="s">
        <v>18</v>
      </c>
      <c r="I359">
        <v>925.68</v>
      </c>
      <c r="J359">
        <v>0</v>
      </c>
      <c r="K359">
        <v>3.99</v>
      </c>
      <c r="L359">
        <v>385</v>
      </c>
      <c r="M359" t="s">
        <v>26</v>
      </c>
      <c r="N359">
        <v>6264</v>
      </c>
    </row>
    <row r="360" spans="1:14" x14ac:dyDescent="0.3">
      <c r="A360">
        <v>2006</v>
      </c>
      <c r="B360" t="s">
        <v>680</v>
      </c>
      <c r="C360" t="s">
        <v>593</v>
      </c>
      <c r="D360" t="s">
        <v>22</v>
      </c>
      <c r="E360" t="s">
        <v>536</v>
      </c>
      <c r="F360">
        <v>4.3499999999999996</v>
      </c>
      <c r="G360">
        <v>137558</v>
      </c>
      <c r="H360" t="s">
        <v>40</v>
      </c>
      <c r="I360">
        <v>2460.15</v>
      </c>
      <c r="J360">
        <v>1476.09</v>
      </c>
      <c r="K360">
        <v>10.65</v>
      </c>
      <c r="L360">
        <v>387</v>
      </c>
      <c r="M360" t="s">
        <v>45</v>
      </c>
      <c r="N360">
        <v>6237</v>
      </c>
    </row>
    <row r="361" spans="1:14" x14ac:dyDescent="0.3">
      <c r="A361">
        <v>1953</v>
      </c>
      <c r="B361" t="s">
        <v>681</v>
      </c>
      <c r="C361" t="s">
        <v>498</v>
      </c>
      <c r="D361" t="s">
        <v>22</v>
      </c>
      <c r="E361" t="s">
        <v>536</v>
      </c>
      <c r="F361">
        <v>4.2300000000000004</v>
      </c>
      <c r="G361">
        <v>96865</v>
      </c>
      <c r="H361" t="s">
        <v>40</v>
      </c>
      <c r="I361">
        <v>690.69</v>
      </c>
      <c r="J361">
        <v>414.41399999999999</v>
      </c>
      <c r="K361">
        <v>2.99</v>
      </c>
      <c r="L361">
        <v>388</v>
      </c>
      <c r="M361" t="s">
        <v>19</v>
      </c>
      <c r="N361">
        <v>6237</v>
      </c>
    </row>
    <row r="362" spans="1:14" x14ac:dyDescent="0.3">
      <c r="A362">
        <v>2001</v>
      </c>
      <c r="B362" t="s">
        <v>681</v>
      </c>
      <c r="C362" t="s">
        <v>682</v>
      </c>
      <c r="D362" t="s">
        <v>22</v>
      </c>
      <c r="E362" t="s">
        <v>536</v>
      </c>
      <c r="F362">
        <v>4.04</v>
      </c>
      <c r="G362">
        <v>111371</v>
      </c>
      <c r="H362" t="s">
        <v>18</v>
      </c>
      <c r="I362">
        <v>687.7</v>
      </c>
      <c r="J362">
        <v>412.62</v>
      </c>
      <c r="K362">
        <v>2.99</v>
      </c>
      <c r="L362">
        <v>389</v>
      </c>
      <c r="M362" t="s">
        <v>133</v>
      </c>
      <c r="N362">
        <v>6210</v>
      </c>
    </row>
    <row r="363" spans="1:14" x14ac:dyDescent="0.3">
      <c r="A363">
        <v>2011</v>
      </c>
      <c r="B363" t="s">
        <v>683</v>
      </c>
      <c r="C363" t="s">
        <v>684</v>
      </c>
      <c r="D363" t="s">
        <v>22</v>
      </c>
      <c r="E363" t="s">
        <v>23</v>
      </c>
      <c r="F363">
        <v>3.9</v>
      </c>
      <c r="G363">
        <v>90083</v>
      </c>
      <c r="H363" t="s">
        <v>40</v>
      </c>
      <c r="I363">
        <v>2509.3000000000002</v>
      </c>
      <c r="J363">
        <v>1505.58</v>
      </c>
      <c r="K363">
        <v>10.91</v>
      </c>
      <c r="L363">
        <v>389</v>
      </c>
      <c r="M363" t="s">
        <v>45</v>
      </c>
      <c r="N363">
        <v>6210</v>
      </c>
    </row>
    <row r="364" spans="1:14" x14ac:dyDescent="0.3">
      <c r="A364">
        <v>2002</v>
      </c>
      <c r="B364" t="s">
        <v>685</v>
      </c>
      <c r="C364" t="s">
        <v>686</v>
      </c>
      <c r="D364" t="s">
        <v>22</v>
      </c>
      <c r="E364" t="s">
        <v>52</v>
      </c>
      <c r="F364">
        <v>4.49</v>
      </c>
      <c r="G364">
        <v>93990</v>
      </c>
      <c r="H364" t="s">
        <v>18</v>
      </c>
      <c r="I364">
        <v>226.71</v>
      </c>
      <c r="J364">
        <v>0</v>
      </c>
      <c r="K364">
        <v>0.99</v>
      </c>
      <c r="L364">
        <v>391</v>
      </c>
      <c r="M364" t="s">
        <v>26</v>
      </c>
      <c r="N364">
        <v>6183</v>
      </c>
    </row>
    <row r="365" spans="1:14" x14ac:dyDescent="0.3">
      <c r="A365">
        <v>1989</v>
      </c>
      <c r="B365" t="s">
        <v>687</v>
      </c>
      <c r="C365" t="s">
        <v>438</v>
      </c>
      <c r="D365" t="s">
        <v>22</v>
      </c>
      <c r="E365" t="s">
        <v>536</v>
      </c>
      <c r="F365">
        <v>4.32</v>
      </c>
      <c r="G365">
        <v>108652</v>
      </c>
      <c r="H365" t="s">
        <v>18</v>
      </c>
      <c r="I365">
        <v>1142.71</v>
      </c>
      <c r="J365">
        <v>0</v>
      </c>
      <c r="K365">
        <v>4.99</v>
      </c>
      <c r="L365">
        <v>392</v>
      </c>
      <c r="M365" t="s">
        <v>26</v>
      </c>
      <c r="N365">
        <v>6183</v>
      </c>
    </row>
    <row r="366" spans="1:14" x14ac:dyDescent="0.3">
      <c r="A366">
        <v>2005</v>
      </c>
      <c r="B366" t="s">
        <v>688</v>
      </c>
      <c r="C366" t="s">
        <v>689</v>
      </c>
      <c r="D366" t="s">
        <v>22</v>
      </c>
      <c r="E366" t="s">
        <v>23</v>
      </c>
      <c r="F366">
        <v>3.86</v>
      </c>
      <c r="G366">
        <v>94590</v>
      </c>
      <c r="H366" t="s">
        <v>18</v>
      </c>
      <c r="I366">
        <v>909.72</v>
      </c>
      <c r="J366">
        <v>0</v>
      </c>
      <c r="K366">
        <v>3.99</v>
      </c>
      <c r="L366">
        <v>393</v>
      </c>
      <c r="M366" t="s">
        <v>26</v>
      </c>
      <c r="N366">
        <v>6156</v>
      </c>
    </row>
    <row r="367" spans="1:14" x14ac:dyDescent="0.3">
      <c r="A367">
        <v>2003</v>
      </c>
      <c r="B367" t="s">
        <v>690</v>
      </c>
      <c r="C367" t="s">
        <v>691</v>
      </c>
      <c r="D367" t="s">
        <v>22</v>
      </c>
      <c r="E367" t="s">
        <v>536</v>
      </c>
      <c r="F367">
        <v>4.07</v>
      </c>
      <c r="G367">
        <v>101343</v>
      </c>
      <c r="H367" t="s">
        <v>18</v>
      </c>
      <c r="I367">
        <v>5902.92</v>
      </c>
      <c r="J367">
        <v>3541.752</v>
      </c>
      <c r="K367">
        <v>25.89</v>
      </c>
      <c r="L367">
        <v>393</v>
      </c>
      <c r="M367" t="s">
        <v>19</v>
      </c>
      <c r="N367">
        <v>6156</v>
      </c>
    </row>
    <row r="368" spans="1:14" x14ac:dyDescent="0.3">
      <c r="A368">
        <v>1973</v>
      </c>
      <c r="B368" t="s">
        <v>692</v>
      </c>
      <c r="C368" t="s">
        <v>693</v>
      </c>
      <c r="D368" t="s">
        <v>22</v>
      </c>
      <c r="E368" t="s">
        <v>536</v>
      </c>
      <c r="F368">
        <v>4.0599999999999996</v>
      </c>
      <c r="G368">
        <v>93151</v>
      </c>
      <c r="H368" t="s">
        <v>18</v>
      </c>
      <c r="I368">
        <v>1468.69</v>
      </c>
      <c r="J368">
        <v>881.21400000000006</v>
      </c>
      <c r="K368">
        <v>6.47</v>
      </c>
      <c r="L368">
        <v>395</v>
      </c>
      <c r="M368" t="s">
        <v>26</v>
      </c>
      <c r="N368">
        <v>6129</v>
      </c>
    </row>
    <row r="369" spans="1:14" x14ac:dyDescent="0.3">
      <c r="A369">
        <v>1988</v>
      </c>
      <c r="B369" t="s">
        <v>694</v>
      </c>
      <c r="C369" t="s">
        <v>332</v>
      </c>
      <c r="D369" t="s">
        <v>22</v>
      </c>
      <c r="E369" t="s">
        <v>23</v>
      </c>
      <c r="F369">
        <v>3.86</v>
      </c>
      <c r="G369">
        <v>110693</v>
      </c>
      <c r="H369" t="s">
        <v>18</v>
      </c>
      <c r="I369">
        <v>223.74</v>
      </c>
      <c r="J369">
        <v>134.244</v>
      </c>
      <c r="K369">
        <v>0.99</v>
      </c>
      <c r="L369">
        <v>397</v>
      </c>
      <c r="M369" t="s">
        <v>26</v>
      </c>
      <c r="N369">
        <v>6102</v>
      </c>
    </row>
    <row r="370" spans="1:14" x14ac:dyDescent="0.3">
      <c r="A370">
        <v>1920</v>
      </c>
      <c r="B370" t="s">
        <v>695</v>
      </c>
      <c r="C370" t="s">
        <v>696</v>
      </c>
      <c r="D370" t="s">
        <v>22</v>
      </c>
      <c r="E370" t="s">
        <v>23</v>
      </c>
      <c r="F370">
        <v>3.93</v>
      </c>
      <c r="G370">
        <v>102646</v>
      </c>
      <c r="H370" t="s">
        <v>18</v>
      </c>
      <c r="I370">
        <v>1188.76</v>
      </c>
      <c r="J370">
        <v>713.25599999999997</v>
      </c>
      <c r="K370">
        <v>5.26</v>
      </c>
      <c r="L370">
        <v>398</v>
      </c>
      <c r="M370" t="s">
        <v>26</v>
      </c>
      <c r="N370">
        <v>6102</v>
      </c>
    </row>
    <row r="371" spans="1:14" x14ac:dyDescent="0.3">
      <c r="A371">
        <v>1976</v>
      </c>
      <c r="B371" t="s">
        <v>697</v>
      </c>
      <c r="C371" t="s">
        <v>698</v>
      </c>
      <c r="D371" t="s">
        <v>22</v>
      </c>
      <c r="E371" t="s">
        <v>536</v>
      </c>
      <c r="F371">
        <v>4.1100000000000003</v>
      </c>
      <c r="G371">
        <v>96564</v>
      </c>
      <c r="H371" t="s">
        <v>18</v>
      </c>
      <c r="I371">
        <v>897.75</v>
      </c>
      <c r="J371">
        <v>538.65</v>
      </c>
      <c r="K371">
        <v>3.99</v>
      </c>
      <c r="L371">
        <v>400</v>
      </c>
      <c r="M371" t="s">
        <v>26</v>
      </c>
      <c r="N371">
        <v>6075</v>
      </c>
    </row>
    <row r="372" spans="1:14" x14ac:dyDescent="0.3">
      <c r="A372">
        <v>2001</v>
      </c>
      <c r="B372" t="s">
        <v>699</v>
      </c>
      <c r="C372" t="s">
        <v>700</v>
      </c>
      <c r="D372" t="s">
        <v>22</v>
      </c>
      <c r="E372" t="s">
        <v>23</v>
      </c>
      <c r="F372">
        <v>4</v>
      </c>
      <c r="G372">
        <v>104283</v>
      </c>
      <c r="H372" t="s">
        <v>18</v>
      </c>
      <c r="I372">
        <v>221.76</v>
      </c>
      <c r="J372">
        <v>0</v>
      </c>
      <c r="K372">
        <v>0.99</v>
      </c>
      <c r="L372">
        <v>401</v>
      </c>
      <c r="M372" t="s">
        <v>26</v>
      </c>
      <c r="N372">
        <v>6048</v>
      </c>
    </row>
    <row r="373" spans="1:14" x14ac:dyDescent="0.3">
      <c r="A373">
        <v>1992</v>
      </c>
      <c r="B373" t="s">
        <v>701</v>
      </c>
      <c r="C373" t="s">
        <v>702</v>
      </c>
      <c r="D373" t="s">
        <v>22</v>
      </c>
      <c r="E373" t="s">
        <v>536</v>
      </c>
      <c r="F373">
        <v>4.08</v>
      </c>
      <c r="G373">
        <v>98591</v>
      </c>
      <c r="H373" t="s">
        <v>40</v>
      </c>
      <c r="I373">
        <v>1274.56</v>
      </c>
      <c r="J373">
        <v>764.73599999999999</v>
      </c>
      <c r="K373">
        <v>5.69</v>
      </c>
      <c r="L373">
        <v>401</v>
      </c>
      <c r="M373" t="s">
        <v>26</v>
      </c>
      <c r="N373">
        <v>6048</v>
      </c>
    </row>
    <row r="374" spans="1:14" x14ac:dyDescent="0.3">
      <c r="A374">
        <v>1938</v>
      </c>
      <c r="B374" t="s">
        <v>703</v>
      </c>
      <c r="C374" t="s">
        <v>704</v>
      </c>
      <c r="D374" t="s">
        <v>22</v>
      </c>
      <c r="E374" t="s">
        <v>23</v>
      </c>
      <c r="F374">
        <v>3.62</v>
      </c>
      <c r="G374">
        <v>95620</v>
      </c>
      <c r="H374" t="s">
        <v>18</v>
      </c>
      <c r="I374">
        <v>1112.77</v>
      </c>
      <c r="J374">
        <v>0</v>
      </c>
      <c r="K374">
        <v>4.99</v>
      </c>
      <c r="L374">
        <v>403</v>
      </c>
      <c r="M374" t="s">
        <v>26</v>
      </c>
      <c r="N374">
        <v>6021</v>
      </c>
    </row>
    <row r="375" spans="1:14" x14ac:dyDescent="0.3">
      <c r="A375">
        <v>2011</v>
      </c>
      <c r="B375" t="s">
        <v>705</v>
      </c>
      <c r="C375" t="s">
        <v>706</v>
      </c>
      <c r="D375" t="s">
        <v>22</v>
      </c>
      <c r="E375" t="s">
        <v>536</v>
      </c>
      <c r="F375">
        <v>4.0199999999999996</v>
      </c>
      <c r="G375">
        <v>119633</v>
      </c>
      <c r="H375" t="s">
        <v>18</v>
      </c>
      <c r="I375">
        <v>1781.77</v>
      </c>
      <c r="J375">
        <v>1069.0619999999999</v>
      </c>
      <c r="K375">
        <v>7.99</v>
      </c>
      <c r="L375">
        <v>404</v>
      </c>
      <c r="M375" t="s">
        <v>33</v>
      </c>
      <c r="N375">
        <v>6021</v>
      </c>
    </row>
    <row r="376" spans="1:14" x14ac:dyDescent="0.3">
      <c r="A376">
        <v>1978</v>
      </c>
      <c r="B376" t="s">
        <v>707</v>
      </c>
      <c r="C376" t="s">
        <v>708</v>
      </c>
      <c r="D376" t="s">
        <v>22</v>
      </c>
      <c r="E376" t="s">
        <v>536</v>
      </c>
      <c r="F376">
        <v>4.1500000000000004</v>
      </c>
      <c r="G376">
        <v>104677</v>
      </c>
      <c r="H376" t="s">
        <v>18</v>
      </c>
      <c r="I376">
        <v>1662.78</v>
      </c>
      <c r="J376">
        <v>997.66800000000001</v>
      </c>
      <c r="K376">
        <v>7.49</v>
      </c>
      <c r="L376">
        <v>406</v>
      </c>
      <c r="M376" t="s">
        <v>33</v>
      </c>
      <c r="N376">
        <v>5994</v>
      </c>
    </row>
    <row r="377" spans="1:14" x14ac:dyDescent="0.3">
      <c r="A377">
        <v>2010</v>
      </c>
      <c r="B377" t="s">
        <v>709</v>
      </c>
      <c r="C377" t="s">
        <v>710</v>
      </c>
      <c r="D377" t="s">
        <v>22</v>
      </c>
      <c r="E377" t="s">
        <v>23</v>
      </c>
      <c r="F377">
        <v>3.87</v>
      </c>
      <c r="G377">
        <v>97745</v>
      </c>
      <c r="H377" t="s">
        <v>18</v>
      </c>
      <c r="I377">
        <v>660.79</v>
      </c>
      <c r="J377">
        <v>396.47399999999999</v>
      </c>
      <c r="K377">
        <v>2.99</v>
      </c>
      <c r="L377">
        <v>408</v>
      </c>
      <c r="M377" t="s">
        <v>65</v>
      </c>
      <c r="N377">
        <v>5967</v>
      </c>
    </row>
    <row r="378" spans="1:14" x14ac:dyDescent="0.3">
      <c r="A378">
        <v>2009</v>
      </c>
      <c r="B378" t="s">
        <v>711</v>
      </c>
      <c r="C378" t="s">
        <v>712</v>
      </c>
      <c r="D378" t="s">
        <v>22</v>
      </c>
      <c r="E378" t="s">
        <v>536</v>
      </c>
      <c r="F378">
        <v>4.0999999999999996</v>
      </c>
      <c r="G378">
        <v>103933</v>
      </c>
      <c r="H378" t="s">
        <v>18</v>
      </c>
      <c r="I378">
        <v>437.8</v>
      </c>
      <c r="J378">
        <v>262.68</v>
      </c>
      <c r="K378">
        <v>1.99</v>
      </c>
      <c r="L378">
        <v>409</v>
      </c>
      <c r="M378" t="s">
        <v>45</v>
      </c>
      <c r="N378">
        <v>5940</v>
      </c>
    </row>
    <row r="379" spans="1:14" x14ac:dyDescent="0.3">
      <c r="A379">
        <v>2006</v>
      </c>
      <c r="B379" t="s">
        <v>713</v>
      </c>
      <c r="C379" t="s">
        <v>194</v>
      </c>
      <c r="D379" t="s">
        <v>22</v>
      </c>
      <c r="E379" t="s">
        <v>17</v>
      </c>
      <c r="F379">
        <v>3.48</v>
      </c>
      <c r="G379">
        <v>99170</v>
      </c>
      <c r="H379" t="s">
        <v>18</v>
      </c>
      <c r="I379">
        <v>3955.6</v>
      </c>
      <c r="J379">
        <v>2373.36</v>
      </c>
      <c r="K379">
        <v>17.98</v>
      </c>
      <c r="L379">
        <v>409</v>
      </c>
      <c r="M379" t="s">
        <v>26</v>
      </c>
      <c r="N379">
        <v>5940</v>
      </c>
    </row>
    <row r="380" spans="1:14" x14ac:dyDescent="0.3">
      <c r="A380">
        <v>2011</v>
      </c>
      <c r="B380" t="s">
        <v>714</v>
      </c>
      <c r="C380" t="s">
        <v>313</v>
      </c>
      <c r="D380" t="s">
        <v>22</v>
      </c>
      <c r="E380" t="s">
        <v>536</v>
      </c>
      <c r="F380">
        <v>4.2</v>
      </c>
      <c r="G380">
        <v>116360</v>
      </c>
      <c r="H380" t="s">
        <v>40</v>
      </c>
      <c r="I380">
        <v>2067.36</v>
      </c>
      <c r="J380">
        <v>1240.4159999999999</v>
      </c>
      <c r="K380">
        <v>9.44</v>
      </c>
      <c r="L380">
        <v>411</v>
      </c>
      <c r="M380" t="s">
        <v>26</v>
      </c>
      <c r="N380">
        <v>5913</v>
      </c>
    </row>
    <row r="381" spans="1:14" x14ac:dyDescent="0.3">
      <c r="A381">
        <v>2005</v>
      </c>
      <c r="B381" t="s">
        <v>715</v>
      </c>
      <c r="C381" t="s">
        <v>716</v>
      </c>
      <c r="D381" t="s">
        <v>22</v>
      </c>
      <c r="E381" t="s">
        <v>536</v>
      </c>
      <c r="F381">
        <v>4.2300000000000004</v>
      </c>
      <c r="G381">
        <v>97653</v>
      </c>
      <c r="H381" t="s">
        <v>18</v>
      </c>
      <c r="I381">
        <v>1311.81</v>
      </c>
      <c r="J381">
        <v>787.08600000000001</v>
      </c>
      <c r="K381">
        <v>5.99</v>
      </c>
      <c r="L381">
        <v>412</v>
      </c>
      <c r="M381" t="s">
        <v>133</v>
      </c>
      <c r="N381">
        <v>5913</v>
      </c>
    </row>
    <row r="382" spans="1:14" x14ac:dyDescent="0.3">
      <c r="A382">
        <v>1992</v>
      </c>
      <c r="B382" t="s">
        <v>717</v>
      </c>
      <c r="C382" t="s">
        <v>73</v>
      </c>
      <c r="D382" t="s">
        <v>22</v>
      </c>
      <c r="E382" t="s">
        <v>52</v>
      </c>
      <c r="F382">
        <v>3.47</v>
      </c>
      <c r="G382">
        <v>100158</v>
      </c>
      <c r="H382" t="s">
        <v>29</v>
      </c>
      <c r="I382">
        <v>433.82</v>
      </c>
      <c r="J382">
        <v>260.29199999999997</v>
      </c>
      <c r="K382">
        <v>1.99</v>
      </c>
      <c r="L382">
        <v>413</v>
      </c>
      <c r="M382" t="s">
        <v>26</v>
      </c>
      <c r="N382">
        <v>5886</v>
      </c>
    </row>
    <row r="383" spans="1:14" x14ac:dyDescent="0.3">
      <c r="A383">
        <v>1996</v>
      </c>
      <c r="B383" t="s">
        <v>718</v>
      </c>
      <c r="C383" t="s">
        <v>719</v>
      </c>
      <c r="D383" t="s">
        <v>22</v>
      </c>
      <c r="E383" t="s">
        <v>536</v>
      </c>
      <c r="F383">
        <v>4.1100000000000003</v>
      </c>
      <c r="G383">
        <v>116171</v>
      </c>
      <c r="H383" t="s">
        <v>40</v>
      </c>
      <c r="I383">
        <v>2177.8200000000002</v>
      </c>
      <c r="J383">
        <v>1306.692</v>
      </c>
      <c r="K383">
        <v>9.99</v>
      </c>
      <c r="L383">
        <v>414</v>
      </c>
      <c r="M383" t="s">
        <v>26</v>
      </c>
      <c r="N383">
        <v>5886</v>
      </c>
    </row>
    <row r="384" spans="1:14" x14ac:dyDescent="0.3">
      <c r="A384">
        <v>1931</v>
      </c>
      <c r="B384" t="s">
        <v>720</v>
      </c>
      <c r="C384" t="s">
        <v>721</v>
      </c>
      <c r="D384" t="s">
        <v>22</v>
      </c>
      <c r="E384" t="s">
        <v>536</v>
      </c>
      <c r="F384">
        <v>4.1399999999999997</v>
      </c>
      <c r="G384">
        <v>102348</v>
      </c>
      <c r="H384" t="s">
        <v>29</v>
      </c>
      <c r="I384">
        <v>1864.03</v>
      </c>
      <c r="J384">
        <v>1118.4179999999999</v>
      </c>
      <c r="K384">
        <v>8.59</v>
      </c>
      <c r="L384">
        <v>415</v>
      </c>
      <c r="M384" t="s">
        <v>30</v>
      </c>
      <c r="N384">
        <v>5859</v>
      </c>
    </row>
    <row r="385" spans="1:14" x14ac:dyDescent="0.3">
      <c r="A385">
        <v>1974</v>
      </c>
      <c r="B385" t="s">
        <v>722</v>
      </c>
      <c r="C385" t="s">
        <v>723</v>
      </c>
      <c r="D385" t="s">
        <v>22</v>
      </c>
      <c r="E385" t="s">
        <v>536</v>
      </c>
      <c r="F385">
        <v>4.1500000000000004</v>
      </c>
      <c r="G385">
        <v>87636</v>
      </c>
      <c r="H385" t="s">
        <v>18</v>
      </c>
      <c r="I385">
        <v>214.83</v>
      </c>
      <c r="J385">
        <v>128.898</v>
      </c>
      <c r="K385">
        <v>0.99</v>
      </c>
      <c r="L385">
        <v>416</v>
      </c>
      <c r="M385" t="s">
        <v>26</v>
      </c>
      <c r="N385">
        <v>5859</v>
      </c>
    </row>
    <row r="386" spans="1:14" x14ac:dyDescent="0.3">
      <c r="A386">
        <v>1994</v>
      </c>
      <c r="B386" t="s">
        <v>724</v>
      </c>
      <c r="C386" t="s">
        <v>725</v>
      </c>
      <c r="D386" t="s">
        <v>78</v>
      </c>
      <c r="E386" t="s">
        <v>23</v>
      </c>
      <c r="F386">
        <v>3.79</v>
      </c>
      <c r="G386">
        <v>100972</v>
      </c>
      <c r="H386" t="s">
        <v>18</v>
      </c>
      <c r="I386">
        <v>2311.0500000000002</v>
      </c>
      <c r="J386">
        <v>1386.63</v>
      </c>
      <c r="K386">
        <v>10.65</v>
      </c>
      <c r="L386">
        <v>416</v>
      </c>
      <c r="M386" t="s">
        <v>45</v>
      </c>
      <c r="N386">
        <v>5859</v>
      </c>
    </row>
    <row r="387" spans="1:14" x14ac:dyDescent="0.3">
      <c r="A387">
        <v>2003</v>
      </c>
      <c r="B387" t="s">
        <v>726</v>
      </c>
      <c r="C387" t="s">
        <v>727</v>
      </c>
      <c r="D387" t="s">
        <v>22</v>
      </c>
      <c r="E387" t="s">
        <v>23</v>
      </c>
      <c r="F387">
        <v>3.57</v>
      </c>
      <c r="G387">
        <v>94696</v>
      </c>
      <c r="H387" t="s">
        <v>18</v>
      </c>
      <c r="I387">
        <v>1072.8499999999999</v>
      </c>
      <c r="J387">
        <v>0</v>
      </c>
      <c r="K387">
        <v>4.99</v>
      </c>
      <c r="L387">
        <v>419</v>
      </c>
      <c r="M387" t="s">
        <v>26</v>
      </c>
      <c r="N387">
        <v>5805</v>
      </c>
    </row>
    <row r="388" spans="1:14" x14ac:dyDescent="0.3">
      <c r="A388">
        <v>2006</v>
      </c>
      <c r="B388" t="s">
        <v>728</v>
      </c>
      <c r="C388" t="s">
        <v>729</v>
      </c>
      <c r="D388" t="s">
        <v>22</v>
      </c>
      <c r="E388" t="s">
        <v>536</v>
      </c>
      <c r="F388">
        <v>4.1399999999999997</v>
      </c>
      <c r="G388">
        <v>97501</v>
      </c>
      <c r="H388" t="s">
        <v>18</v>
      </c>
      <c r="I388">
        <v>1717.85</v>
      </c>
      <c r="J388">
        <v>1030.71</v>
      </c>
      <c r="K388">
        <v>7.99</v>
      </c>
      <c r="L388">
        <v>419</v>
      </c>
      <c r="M388" t="s">
        <v>45</v>
      </c>
      <c r="N388">
        <v>5805</v>
      </c>
    </row>
    <row r="389" spans="1:14" x14ac:dyDescent="0.3">
      <c r="A389">
        <v>2002</v>
      </c>
      <c r="B389" t="s">
        <v>730</v>
      </c>
      <c r="C389" t="s">
        <v>731</v>
      </c>
      <c r="D389" t="s">
        <v>22</v>
      </c>
      <c r="E389" t="s">
        <v>23</v>
      </c>
      <c r="F389">
        <v>3.94</v>
      </c>
      <c r="G389">
        <v>108031</v>
      </c>
      <c r="H389" t="s">
        <v>40</v>
      </c>
      <c r="I389">
        <v>642.85</v>
      </c>
      <c r="J389">
        <v>385.71</v>
      </c>
      <c r="K389">
        <v>2.99</v>
      </c>
      <c r="L389">
        <v>420</v>
      </c>
      <c r="M389" t="s">
        <v>26</v>
      </c>
      <c r="N389">
        <v>5805</v>
      </c>
    </row>
    <row r="390" spans="1:14" x14ac:dyDescent="0.3">
      <c r="A390">
        <v>1993</v>
      </c>
      <c r="B390" t="s">
        <v>732</v>
      </c>
      <c r="C390" t="s">
        <v>733</v>
      </c>
      <c r="D390" t="s">
        <v>22</v>
      </c>
      <c r="E390" t="s">
        <v>23</v>
      </c>
      <c r="F390">
        <v>3.83</v>
      </c>
      <c r="G390">
        <v>103151</v>
      </c>
      <c r="H390" t="s">
        <v>18</v>
      </c>
      <c r="I390">
        <v>1281.8599999999999</v>
      </c>
      <c r="J390">
        <v>0</v>
      </c>
      <c r="K390">
        <v>5.99</v>
      </c>
      <c r="L390">
        <v>421</v>
      </c>
      <c r="M390" t="s">
        <v>26</v>
      </c>
      <c r="N390">
        <v>5778</v>
      </c>
    </row>
    <row r="391" spans="1:14" x14ac:dyDescent="0.3">
      <c r="A391">
        <v>2011</v>
      </c>
      <c r="B391" t="s">
        <v>734</v>
      </c>
      <c r="C391" t="s">
        <v>735</v>
      </c>
      <c r="D391" t="s">
        <v>22</v>
      </c>
      <c r="E391" t="s">
        <v>23</v>
      </c>
      <c r="F391">
        <v>3.77</v>
      </c>
      <c r="G391">
        <v>105063</v>
      </c>
      <c r="H391" t="s">
        <v>18</v>
      </c>
      <c r="I391">
        <v>849.87</v>
      </c>
      <c r="J391">
        <v>509.92200000000003</v>
      </c>
      <c r="K391">
        <v>3.99</v>
      </c>
      <c r="L391">
        <v>423</v>
      </c>
      <c r="M391" t="s">
        <v>26</v>
      </c>
      <c r="N391">
        <v>5751</v>
      </c>
    </row>
    <row r="392" spans="1:14" x14ac:dyDescent="0.3">
      <c r="A392">
        <v>2015</v>
      </c>
      <c r="B392" t="s">
        <v>736</v>
      </c>
      <c r="C392" t="s">
        <v>737</v>
      </c>
      <c r="D392" t="s">
        <v>22</v>
      </c>
      <c r="E392" t="s">
        <v>536</v>
      </c>
      <c r="F392">
        <v>4.1900000000000004</v>
      </c>
      <c r="G392">
        <v>132087</v>
      </c>
      <c r="H392" t="s">
        <v>18</v>
      </c>
      <c r="I392">
        <v>423.87</v>
      </c>
      <c r="J392">
        <v>254.322</v>
      </c>
      <c r="K392">
        <v>1.99</v>
      </c>
      <c r="L392">
        <v>423</v>
      </c>
      <c r="M392" t="s">
        <v>19</v>
      </c>
      <c r="N392">
        <v>5751</v>
      </c>
    </row>
    <row r="393" spans="1:14" x14ac:dyDescent="0.3">
      <c r="A393">
        <v>1997</v>
      </c>
      <c r="B393" t="s">
        <v>738</v>
      </c>
      <c r="C393" t="s">
        <v>739</v>
      </c>
      <c r="D393" t="s">
        <v>22</v>
      </c>
      <c r="E393" t="s">
        <v>23</v>
      </c>
      <c r="F393">
        <v>3.86</v>
      </c>
      <c r="G393">
        <v>100369</v>
      </c>
      <c r="H393" t="s">
        <v>18</v>
      </c>
      <c r="I393">
        <v>1062.8699999999999</v>
      </c>
      <c r="J393">
        <v>637.72199999999998</v>
      </c>
      <c r="K393">
        <v>4.99</v>
      </c>
      <c r="L393">
        <v>424</v>
      </c>
      <c r="M393" t="s">
        <v>30</v>
      </c>
      <c r="N393">
        <v>5751</v>
      </c>
    </row>
    <row r="394" spans="1:14" x14ac:dyDescent="0.3">
      <c r="A394">
        <v>2007</v>
      </c>
      <c r="B394" t="s">
        <v>740</v>
      </c>
      <c r="C394" t="s">
        <v>741</v>
      </c>
      <c r="D394" t="s">
        <v>22</v>
      </c>
      <c r="E394" t="s">
        <v>23</v>
      </c>
      <c r="F394">
        <v>3.84</v>
      </c>
      <c r="G394">
        <v>58396</v>
      </c>
      <c r="H394" t="s">
        <v>18</v>
      </c>
      <c r="I394">
        <v>1693.88</v>
      </c>
      <c r="J394">
        <v>1016.328</v>
      </c>
      <c r="K394">
        <v>7.99</v>
      </c>
      <c r="L394">
        <v>425</v>
      </c>
      <c r="M394" t="s">
        <v>33</v>
      </c>
      <c r="N394">
        <v>5724</v>
      </c>
    </row>
    <row r="395" spans="1:14" x14ac:dyDescent="0.3">
      <c r="A395">
        <v>2011</v>
      </c>
      <c r="B395" t="s">
        <v>742</v>
      </c>
      <c r="C395" t="s">
        <v>80</v>
      </c>
      <c r="D395" t="s">
        <v>22</v>
      </c>
      <c r="E395" t="s">
        <v>17</v>
      </c>
      <c r="F395">
        <v>3.42</v>
      </c>
      <c r="G395">
        <v>90551</v>
      </c>
      <c r="H395" t="s">
        <v>18</v>
      </c>
      <c r="I395">
        <v>1080.32</v>
      </c>
      <c r="J395">
        <v>648.19200000000001</v>
      </c>
      <c r="K395">
        <v>5.12</v>
      </c>
      <c r="L395">
        <v>427</v>
      </c>
      <c r="M395" t="s">
        <v>45</v>
      </c>
      <c r="N395">
        <v>5697</v>
      </c>
    </row>
    <row r="396" spans="1:14" x14ac:dyDescent="0.3">
      <c r="A396">
        <v>1998</v>
      </c>
      <c r="B396" t="s">
        <v>743</v>
      </c>
      <c r="C396" t="s">
        <v>744</v>
      </c>
      <c r="D396" t="s">
        <v>22</v>
      </c>
      <c r="E396" t="s">
        <v>23</v>
      </c>
      <c r="F396">
        <v>3.89</v>
      </c>
      <c r="G396">
        <v>89770</v>
      </c>
      <c r="H396" t="s">
        <v>18</v>
      </c>
      <c r="I396">
        <v>630.89</v>
      </c>
      <c r="J396">
        <v>0</v>
      </c>
      <c r="K396">
        <v>2.99</v>
      </c>
      <c r="L396">
        <v>428</v>
      </c>
      <c r="M396" t="s">
        <v>26</v>
      </c>
      <c r="N396">
        <v>5697</v>
      </c>
    </row>
    <row r="397" spans="1:14" x14ac:dyDescent="0.3">
      <c r="A397">
        <v>2015</v>
      </c>
      <c r="B397" t="s">
        <v>745</v>
      </c>
      <c r="C397" t="s">
        <v>746</v>
      </c>
      <c r="D397" t="s">
        <v>22</v>
      </c>
      <c r="E397" t="s">
        <v>17</v>
      </c>
      <c r="F397">
        <v>3.48</v>
      </c>
      <c r="G397">
        <v>82504</v>
      </c>
      <c r="H397" t="s">
        <v>18</v>
      </c>
      <c r="I397">
        <v>2007.6</v>
      </c>
      <c r="J397">
        <v>1204.56</v>
      </c>
      <c r="K397">
        <v>9.56</v>
      </c>
      <c r="L397">
        <v>430</v>
      </c>
      <c r="M397" t="s">
        <v>65</v>
      </c>
      <c r="N397">
        <v>5670</v>
      </c>
    </row>
    <row r="398" spans="1:14" x14ac:dyDescent="0.3">
      <c r="A398">
        <v>2004</v>
      </c>
      <c r="B398" t="s">
        <v>747</v>
      </c>
      <c r="C398" t="s">
        <v>748</v>
      </c>
      <c r="D398" t="s">
        <v>22</v>
      </c>
      <c r="E398" t="s">
        <v>536</v>
      </c>
      <c r="F398">
        <v>4.16</v>
      </c>
      <c r="G398">
        <v>104168</v>
      </c>
      <c r="H398" t="s">
        <v>18</v>
      </c>
      <c r="I398">
        <v>833.91</v>
      </c>
      <c r="J398">
        <v>0</v>
      </c>
      <c r="K398">
        <v>3.99</v>
      </c>
      <c r="L398">
        <v>431</v>
      </c>
      <c r="M398" t="s">
        <v>26</v>
      </c>
      <c r="N398">
        <v>5643</v>
      </c>
    </row>
    <row r="399" spans="1:14" x14ac:dyDescent="0.3">
      <c r="A399">
        <v>2012</v>
      </c>
      <c r="B399" t="s">
        <v>749</v>
      </c>
      <c r="C399" t="s">
        <v>750</v>
      </c>
      <c r="D399" t="s">
        <v>22</v>
      </c>
      <c r="E399" t="s">
        <v>536</v>
      </c>
      <c r="F399">
        <v>4.05</v>
      </c>
      <c r="G399">
        <v>121727</v>
      </c>
      <c r="H399" t="s">
        <v>40</v>
      </c>
      <c r="I399">
        <v>206.91</v>
      </c>
      <c r="J399">
        <v>124.146</v>
      </c>
      <c r="K399">
        <v>0.99</v>
      </c>
      <c r="L399">
        <v>432</v>
      </c>
      <c r="M399" t="s">
        <v>26</v>
      </c>
      <c r="N399">
        <v>5643</v>
      </c>
    </row>
    <row r="400" spans="1:14" x14ac:dyDescent="0.3">
      <c r="A400">
        <v>1954</v>
      </c>
      <c r="B400" t="s">
        <v>751</v>
      </c>
      <c r="C400" t="s">
        <v>752</v>
      </c>
      <c r="D400" t="s">
        <v>22</v>
      </c>
      <c r="E400" t="s">
        <v>23</v>
      </c>
      <c r="F400">
        <v>3.99</v>
      </c>
      <c r="G400">
        <v>98795</v>
      </c>
      <c r="H400" t="s">
        <v>18</v>
      </c>
      <c r="I400">
        <v>621.91999999999996</v>
      </c>
      <c r="J400">
        <v>0</v>
      </c>
      <c r="K400">
        <v>2.99</v>
      </c>
      <c r="L400">
        <v>433</v>
      </c>
      <c r="M400" t="s">
        <v>26</v>
      </c>
      <c r="N400">
        <v>5616</v>
      </c>
    </row>
    <row r="401" spans="1:14" x14ac:dyDescent="0.3">
      <c r="A401">
        <v>2008</v>
      </c>
      <c r="B401" t="s">
        <v>753</v>
      </c>
      <c r="C401" t="s">
        <v>754</v>
      </c>
      <c r="D401" t="s">
        <v>22</v>
      </c>
      <c r="E401" t="s">
        <v>23</v>
      </c>
      <c r="F401">
        <v>3.78</v>
      </c>
      <c r="G401">
        <v>85019</v>
      </c>
      <c r="H401" t="s">
        <v>18</v>
      </c>
      <c r="I401">
        <v>205.92</v>
      </c>
      <c r="J401">
        <v>0</v>
      </c>
      <c r="K401">
        <v>0.99</v>
      </c>
      <c r="L401">
        <v>433</v>
      </c>
      <c r="M401" t="s">
        <v>26</v>
      </c>
      <c r="N401">
        <v>5616</v>
      </c>
    </row>
    <row r="402" spans="1:14" x14ac:dyDescent="0.3">
      <c r="A402">
        <v>2014</v>
      </c>
      <c r="B402" t="s">
        <v>755</v>
      </c>
      <c r="C402" t="s">
        <v>756</v>
      </c>
      <c r="D402" t="s">
        <v>22</v>
      </c>
      <c r="E402" t="s">
        <v>17</v>
      </c>
      <c r="F402">
        <v>3.33</v>
      </c>
      <c r="G402">
        <v>88251</v>
      </c>
      <c r="H402" t="s">
        <v>40</v>
      </c>
      <c r="I402">
        <v>1245.92</v>
      </c>
      <c r="J402">
        <v>747.55200000000002</v>
      </c>
      <c r="K402">
        <v>5.99</v>
      </c>
      <c r="L402">
        <v>434</v>
      </c>
      <c r="M402" t="s">
        <v>45</v>
      </c>
      <c r="N402">
        <v>5616</v>
      </c>
    </row>
    <row r="403" spans="1:14" x14ac:dyDescent="0.3">
      <c r="A403">
        <v>2001</v>
      </c>
      <c r="B403" t="s">
        <v>757</v>
      </c>
      <c r="C403" t="s">
        <v>758</v>
      </c>
      <c r="D403" t="s">
        <v>22</v>
      </c>
      <c r="E403" t="s">
        <v>536</v>
      </c>
      <c r="F403">
        <v>4.04</v>
      </c>
      <c r="G403">
        <v>85277</v>
      </c>
      <c r="H403" t="s">
        <v>18</v>
      </c>
      <c r="I403">
        <v>1032.93</v>
      </c>
      <c r="J403">
        <v>0</v>
      </c>
      <c r="K403">
        <v>4.99</v>
      </c>
      <c r="L403">
        <v>436</v>
      </c>
      <c r="M403" t="s">
        <v>26</v>
      </c>
      <c r="N403">
        <v>5589</v>
      </c>
    </row>
    <row r="404" spans="1:14" x14ac:dyDescent="0.3">
      <c r="A404">
        <v>2009</v>
      </c>
      <c r="B404" t="s">
        <v>759</v>
      </c>
      <c r="C404" t="s">
        <v>760</v>
      </c>
      <c r="D404" t="s">
        <v>16</v>
      </c>
      <c r="E404" t="s">
        <v>536</v>
      </c>
      <c r="F404">
        <v>4.12</v>
      </c>
      <c r="G404">
        <v>98180</v>
      </c>
      <c r="H404" t="s">
        <v>18</v>
      </c>
      <c r="I404">
        <v>2457.9499999999998</v>
      </c>
      <c r="J404">
        <v>1474.77</v>
      </c>
      <c r="K404">
        <v>11.99</v>
      </c>
      <c r="L404">
        <v>439</v>
      </c>
      <c r="M404" t="s">
        <v>33</v>
      </c>
      <c r="N404">
        <v>5535</v>
      </c>
    </row>
    <row r="405" spans="1:14" x14ac:dyDescent="0.3">
      <c r="A405">
        <v>1952</v>
      </c>
      <c r="B405" t="s">
        <v>761</v>
      </c>
      <c r="C405" t="s">
        <v>762</v>
      </c>
      <c r="D405" t="s">
        <v>22</v>
      </c>
      <c r="E405" t="s">
        <v>23</v>
      </c>
      <c r="F405">
        <v>3.81</v>
      </c>
      <c r="G405">
        <v>98950</v>
      </c>
      <c r="H405" t="s">
        <v>18</v>
      </c>
      <c r="I405">
        <v>1621.97</v>
      </c>
      <c r="J405">
        <v>973.18200000000002</v>
      </c>
      <c r="K405">
        <v>7.99</v>
      </c>
      <c r="L405">
        <v>444</v>
      </c>
      <c r="M405" t="s">
        <v>33</v>
      </c>
      <c r="N405">
        <v>5481</v>
      </c>
    </row>
    <row r="406" spans="1:14" x14ac:dyDescent="0.3">
      <c r="A406">
        <v>1906</v>
      </c>
      <c r="B406" t="s">
        <v>763</v>
      </c>
      <c r="C406" t="s">
        <v>764</v>
      </c>
      <c r="D406" t="s">
        <v>22</v>
      </c>
      <c r="E406" t="s">
        <v>23</v>
      </c>
      <c r="F406">
        <v>3.94</v>
      </c>
      <c r="G406">
        <v>100223</v>
      </c>
      <c r="H406" t="s">
        <v>18</v>
      </c>
      <c r="I406">
        <v>1703.17</v>
      </c>
      <c r="J406">
        <v>1021.902</v>
      </c>
      <c r="K406">
        <v>8.39</v>
      </c>
      <c r="L406">
        <v>444</v>
      </c>
      <c r="M406" t="s">
        <v>45</v>
      </c>
      <c r="N406">
        <v>5481</v>
      </c>
    </row>
    <row r="407" spans="1:14" x14ac:dyDescent="0.3">
      <c r="A407">
        <v>2003</v>
      </c>
      <c r="B407" t="s">
        <v>765</v>
      </c>
      <c r="C407" t="s">
        <v>766</v>
      </c>
      <c r="D407" t="s">
        <v>22</v>
      </c>
      <c r="E407" t="s">
        <v>536</v>
      </c>
      <c r="F407">
        <v>4.17</v>
      </c>
      <c r="G407">
        <v>98182</v>
      </c>
      <c r="H407" t="s">
        <v>18</v>
      </c>
      <c r="I407">
        <v>603.98</v>
      </c>
      <c r="J407">
        <v>0</v>
      </c>
      <c r="K407">
        <v>2.99</v>
      </c>
      <c r="L407">
        <v>445</v>
      </c>
      <c r="M407" t="s">
        <v>26</v>
      </c>
      <c r="N407">
        <v>5454</v>
      </c>
    </row>
    <row r="408" spans="1:14" x14ac:dyDescent="0.3">
      <c r="A408">
        <v>2000</v>
      </c>
      <c r="B408" t="s">
        <v>767</v>
      </c>
      <c r="C408" t="s">
        <v>768</v>
      </c>
      <c r="D408" t="s">
        <v>22</v>
      </c>
      <c r="E408" t="s">
        <v>536</v>
      </c>
      <c r="F408">
        <v>4.25</v>
      </c>
      <c r="G408">
        <v>88227</v>
      </c>
      <c r="H408" t="s">
        <v>18</v>
      </c>
      <c r="I408">
        <v>603.98</v>
      </c>
      <c r="J408">
        <v>0</v>
      </c>
      <c r="K408">
        <v>2.99</v>
      </c>
      <c r="L408">
        <v>445</v>
      </c>
      <c r="M408" t="s">
        <v>26</v>
      </c>
      <c r="N408">
        <v>5454</v>
      </c>
    </row>
    <row r="409" spans="1:14" x14ac:dyDescent="0.3">
      <c r="A409">
        <v>2012</v>
      </c>
      <c r="B409" t="s">
        <v>769</v>
      </c>
      <c r="C409" t="s">
        <v>770</v>
      </c>
      <c r="D409" t="s">
        <v>16</v>
      </c>
      <c r="E409" t="s">
        <v>536</v>
      </c>
      <c r="F409">
        <v>4.26</v>
      </c>
      <c r="G409">
        <v>117508</v>
      </c>
      <c r="H409" t="s">
        <v>18</v>
      </c>
      <c r="I409">
        <v>600.99</v>
      </c>
      <c r="J409">
        <v>360.59399999999999</v>
      </c>
      <c r="K409">
        <v>2.99</v>
      </c>
      <c r="L409">
        <v>447</v>
      </c>
      <c r="M409" t="s">
        <v>65</v>
      </c>
      <c r="N409">
        <v>5427</v>
      </c>
    </row>
    <row r="410" spans="1:14" x14ac:dyDescent="0.3">
      <c r="A410">
        <v>2013</v>
      </c>
      <c r="B410" t="s">
        <v>771</v>
      </c>
      <c r="C410" t="s">
        <v>772</v>
      </c>
      <c r="D410" t="s">
        <v>22</v>
      </c>
      <c r="E410" t="s">
        <v>23</v>
      </c>
      <c r="F410">
        <v>3.82</v>
      </c>
      <c r="G410">
        <v>86965</v>
      </c>
      <c r="H410" t="s">
        <v>40</v>
      </c>
      <c r="I410">
        <v>198.99</v>
      </c>
      <c r="J410">
        <v>119.39400000000001</v>
      </c>
      <c r="K410">
        <v>0.99</v>
      </c>
      <c r="L410">
        <v>447</v>
      </c>
      <c r="M410" t="s">
        <v>26</v>
      </c>
      <c r="N410">
        <v>5427</v>
      </c>
    </row>
    <row r="411" spans="1:14" x14ac:dyDescent="0.3">
      <c r="A411">
        <v>2014</v>
      </c>
      <c r="B411" t="s">
        <v>773</v>
      </c>
      <c r="C411" t="s">
        <v>96</v>
      </c>
      <c r="D411" t="s">
        <v>22</v>
      </c>
      <c r="E411" t="s">
        <v>23</v>
      </c>
      <c r="F411">
        <v>3.94</v>
      </c>
      <c r="G411">
        <v>87412</v>
      </c>
      <c r="H411" t="s">
        <v>18</v>
      </c>
      <c r="I411">
        <v>399.99</v>
      </c>
      <c r="J411">
        <v>239.994</v>
      </c>
      <c r="K411">
        <v>1.99</v>
      </c>
      <c r="L411">
        <v>448</v>
      </c>
      <c r="M411" t="s">
        <v>30</v>
      </c>
      <c r="N411">
        <v>5427</v>
      </c>
    </row>
    <row r="412" spans="1:14" x14ac:dyDescent="0.3">
      <c r="A412">
        <v>1998</v>
      </c>
      <c r="B412" t="s">
        <v>774</v>
      </c>
      <c r="C412" t="s">
        <v>775</v>
      </c>
      <c r="D412" t="s">
        <v>16</v>
      </c>
      <c r="E412" t="s">
        <v>23</v>
      </c>
      <c r="F412">
        <v>3.91</v>
      </c>
      <c r="G412">
        <v>97462</v>
      </c>
      <c r="H412" t="s">
        <v>18</v>
      </c>
      <c r="I412">
        <v>500</v>
      </c>
      <c r="J412">
        <v>300</v>
      </c>
      <c r="K412">
        <v>2.5</v>
      </c>
      <c r="L412">
        <v>449</v>
      </c>
      <c r="M412" t="s">
        <v>19</v>
      </c>
      <c r="N412">
        <v>5400</v>
      </c>
    </row>
    <row r="413" spans="1:14" x14ac:dyDescent="0.3">
      <c r="A413">
        <v>2012</v>
      </c>
      <c r="B413" t="s">
        <v>776</v>
      </c>
      <c r="C413" t="s">
        <v>777</v>
      </c>
      <c r="D413" t="s">
        <v>22</v>
      </c>
      <c r="E413" t="s">
        <v>536</v>
      </c>
      <c r="F413">
        <v>4.0999999999999996</v>
      </c>
      <c r="G413">
        <v>134805</v>
      </c>
      <c r="H413" t="s">
        <v>40</v>
      </c>
      <c r="I413">
        <v>1898</v>
      </c>
      <c r="J413">
        <v>0</v>
      </c>
      <c r="K413">
        <v>9.49</v>
      </c>
      <c r="L413">
        <v>450</v>
      </c>
      <c r="M413" t="s">
        <v>26</v>
      </c>
      <c r="N413">
        <v>5400</v>
      </c>
    </row>
    <row r="414" spans="1:14" x14ac:dyDescent="0.3">
      <c r="A414">
        <v>1997</v>
      </c>
      <c r="B414" t="s">
        <v>778</v>
      </c>
      <c r="C414" t="s">
        <v>28</v>
      </c>
      <c r="D414" t="s">
        <v>22</v>
      </c>
      <c r="E414" t="s">
        <v>23</v>
      </c>
      <c r="F414">
        <v>3.95</v>
      </c>
      <c r="G414">
        <v>82591</v>
      </c>
      <c r="H414" t="s">
        <v>18</v>
      </c>
      <c r="I414">
        <v>595.01</v>
      </c>
      <c r="J414">
        <v>0</v>
      </c>
      <c r="K414">
        <v>2.99</v>
      </c>
      <c r="L414">
        <v>452</v>
      </c>
      <c r="M414" t="s">
        <v>26</v>
      </c>
      <c r="N414">
        <v>5373</v>
      </c>
    </row>
    <row r="415" spans="1:14" x14ac:dyDescent="0.3">
      <c r="A415">
        <v>1996</v>
      </c>
      <c r="B415" t="s">
        <v>779</v>
      </c>
      <c r="C415" t="s">
        <v>73</v>
      </c>
      <c r="D415" t="s">
        <v>22</v>
      </c>
      <c r="E415" t="s">
        <v>23</v>
      </c>
      <c r="F415">
        <v>3.8</v>
      </c>
      <c r="G415">
        <v>94821</v>
      </c>
      <c r="H415" t="s">
        <v>18</v>
      </c>
      <c r="I415">
        <v>196.02</v>
      </c>
      <c r="J415">
        <v>117.61199999999999</v>
      </c>
      <c r="K415">
        <v>0.99</v>
      </c>
      <c r="L415">
        <v>453</v>
      </c>
      <c r="M415" t="s">
        <v>26</v>
      </c>
      <c r="N415">
        <v>5346</v>
      </c>
    </row>
    <row r="416" spans="1:14" x14ac:dyDescent="0.3">
      <c r="A416">
        <v>2011</v>
      </c>
      <c r="B416" t="s">
        <v>780</v>
      </c>
      <c r="C416" t="s">
        <v>166</v>
      </c>
      <c r="D416" t="s">
        <v>22</v>
      </c>
      <c r="E416" t="s">
        <v>23</v>
      </c>
      <c r="F416">
        <v>3.89</v>
      </c>
      <c r="G416">
        <v>119735</v>
      </c>
      <c r="H416" t="s">
        <v>18</v>
      </c>
      <c r="I416">
        <v>790.02</v>
      </c>
      <c r="J416">
        <v>0</v>
      </c>
      <c r="K416">
        <v>3.99</v>
      </c>
      <c r="L416">
        <v>454</v>
      </c>
      <c r="M416" t="s">
        <v>26</v>
      </c>
      <c r="N416">
        <v>5346</v>
      </c>
    </row>
    <row r="417" spans="1:14" x14ac:dyDescent="0.3">
      <c r="A417">
        <v>2012</v>
      </c>
      <c r="B417" t="s">
        <v>781</v>
      </c>
      <c r="C417" t="s">
        <v>782</v>
      </c>
      <c r="D417" t="s">
        <v>22</v>
      </c>
      <c r="E417" t="s">
        <v>23</v>
      </c>
      <c r="F417">
        <v>3.69</v>
      </c>
      <c r="G417">
        <v>96568</v>
      </c>
      <c r="H417" t="s">
        <v>18</v>
      </c>
      <c r="I417">
        <v>1059.8599999999999</v>
      </c>
      <c r="J417">
        <v>635.91600000000005</v>
      </c>
      <c r="K417">
        <v>5.38</v>
      </c>
      <c r="L417">
        <v>455</v>
      </c>
      <c r="M417" t="s">
        <v>45</v>
      </c>
      <c r="N417">
        <v>5319</v>
      </c>
    </row>
    <row r="418" spans="1:14" x14ac:dyDescent="0.3">
      <c r="A418">
        <v>2011</v>
      </c>
      <c r="B418" t="s">
        <v>783</v>
      </c>
      <c r="C418" t="s">
        <v>784</v>
      </c>
      <c r="D418" t="s">
        <v>16</v>
      </c>
      <c r="E418" t="s">
        <v>536</v>
      </c>
      <c r="F418">
        <v>4.1900000000000004</v>
      </c>
      <c r="G418">
        <v>73886</v>
      </c>
      <c r="H418" t="s">
        <v>18</v>
      </c>
      <c r="I418">
        <v>194.04</v>
      </c>
      <c r="J418">
        <v>0</v>
      </c>
      <c r="K418">
        <v>0.99</v>
      </c>
      <c r="L418">
        <v>457</v>
      </c>
      <c r="M418" t="s">
        <v>26</v>
      </c>
      <c r="N418">
        <v>5292</v>
      </c>
    </row>
    <row r="419" spans="1:14" x14ac:dyDescent="0.3">
      <c r="A419">
        <v>2001</v>
      </c>
      <c r="B419" t="s">
        <v>785</v>
      </c>
      <c r="C419" t="s">
        <v>786</v>
      </c>
      <c r="D419" t="s">
        <v>22</v>
      </c>
      <c r="E419" t="s">
        <v>23</v>
      </c>
      <c r="F419">
        <v>3.91</v>
      </c>
      <c r="G419">
        <v>90811</v>
      </c>
      <c r="H419" t="s">
        <v>18</v>
      </c>
      <c r="I419">
        <v>586.04</v>
      </c>
      <c r="J419">
        <v>0</v>
      </c>
      <c r="K419">
        <v>2.99</v>
      </c>
      <c r="L419">
        <v>458</v>
      </c>
      <c r="M419" t="s">
        <v>26</v>
      </c>
      <c r="N419">
        <v>5292</v>
      </c>
    </row>
    <row r="420" spans="1:14" x14ac:dyDescent="0.3">
      <c r="A420">
        <v>1993</v>
      </c>
      <c r="B420" t="s">
        <v>787</v>
      </c>
      <c r="C420" t="s">
        <v>378</v>
      </c>
      <c r="D420" t="s">
        <v>16</v>
      </c>
      <c r="E420" t="s">
        <v>536</v>
      </c>
      <c r="F420">
        <v>4.13</v>
      </c>
      <c r="G420">
        <v>93227</v>
      </c>
      <c r="H420" t="s">
        <v>612</v>
      </c>
      <c r="I420">
        <v>1480.05</v>
      </c>
      <c r="J420">
        <v>888.03</v>
      </c>
      <c r="K420">
        <v>7.59</v>
      </c>
      <c r="L420">
        <v>459</v>
      </c>
      <c r="M420" t="s">
        <v>45</v>
      </c>
      <c r="N420">
        <v>5265</v>
      </c>
    </row>
    <row r="421" spans="1:14" x14ac:dyDescent="0.3">
      <c r="A421">
        <v>2014</v>
      </c>
      <c r="B421" t="s">
        <v>788</v>
      </c>
      <c r="C421" t="s">
        <v>789</v>
      </c>
      <c r="D421" t="s">
        <v>22</v>
      </c>
      <c r="E421" t="s">
        <v>536</v>
      </c>
      <c r="F421">
        <v>4.1399999999999997</v>
      </c>
      <c r="G421">
        <v>140937</v>
      </c>
      <c r="H421" t="s">
        <v>18</v>
      </c>
      <c r="I421">
        <v>583.04999999999995</v>
      </c>
      <c r="J421">
        <v>349.83</v>
      </c>
      <c r="K421">
        <v>2.99</v>
      </c>
      <c r="L421">
        <v>460</v>
      </c>
      <c r="M421" t="s">
        <v>65</v>
      </c>
      <c r="N421">
        <v>5265</v>
      </c>
    </row>
    <row r="422" spans="1:14" x14ac:dyDescent="0.3">
      <c r="A422">
        <v>1999</v>
      </c>
      <c r="B422" t="s">
        <v>790</v>
      </c>
      <c r="C422" t="s">
        <v>618</v>
      </c>
      <c r="D422" t="s">
        <v>16</v>
      </c>
      <c r="E422" t="s">
        <v>23</v>
      </c>
      <c r="F422">
        <v>3.93</v>
      </c>
      <c r="G422">
        <v>49551</v>
      </c>
      <c r="H422" t="s">
        <v>18</v>
      </c>
      <c r="I422">
        <v>192.06</v>
      </c>
      <c r="J422">
        <v>115.236</v>
      </c>
      <c r="K422">
        <v>0.99</v>
      </c>
      <c r="L422">
        <v>462</v>
      </c>
      <c r="M422" t="s">
        <v>19</v>
      </c>
      <c r="N422">
        <v>5238</v>
      </c>
    </row>
    <row r="423" spans="1:14" x14ac:dyDescent="0.3">
      <c r="A423">
        <v>2007</v>
      </c>
      <c r="B423" t="s">
        <v>791</v>
      </c>
      <c r="C423" t="s">
        <v>226</v>
      </c>
      <c r="D423" t="s">
        <v>22</v>
      </c>
      <c r="E423" t="s">
        <v>23</v>
      </c>
      <c r="F423">
        <v>3.77</v>
      </c>
      <c r="G423">
        <v>98130</v>
      </c>
      <c r="H423" t="s">
        <v>18</v>
      </c>
      <c r="I423">
        <v>191.07</v>
      </c>
      <c r="J423">
        <v>0</v>
      </c>
      <c r="K423">
        <v>0.99</v>
      </c>
      <c r="L423">
        <v>463</v>
      </c>
      <c r="M423" t="s">
        <v>26</v>
      </c>
      <c r="N423">
        <v>5211</v>
      </c>
    </row>
    <row r="424" spans="1:14" x14ac:dyDescent="0.3">
      <c r="A424">
        <v>2004</v>
      </c>
      <c r="B424" t="s">
        <v>792</v>
      </c>
      <c r="C424" t="s">
        <v>73</v>
      </c>
      <c r="D424" t="s">
        <v>16</v>
      </c>
      <c r="E424" t="s">
        <v>536</v>
      </c>
      <c r="F424">
        <v>4.2699999999999996</v>
      </c>
      <c r="G424">
        <v>93296</v>
      </c>
      <c r="H424" t="s">
        <v>18</v>
      </c>
      <c r="I424">
        <v>770.07</v>
      </c>
      <c r="J424">
        <v>0</v>
      </c>
      <c r="K424">
        <v>3.99</v>
      </c>
      <c r="L424">
        <v>463</v>
      </c>
      <c r="M424" t="s">
        <v>26</v>
      </c>
      <c r="N424">
        <v>5211</v>
      </c>
    </row>
    <row r="425" spans="1:14" x14ac:dyDescent="0.3">
      <c r="A425">
        <v>2009</v>
      </c>
      <c r="B425" t="s">
        <v>793</v>
      </c>
      <c r="C425" t="s">
        <v>794</v>
      </c>
      <c r="D425" t="s">
        <v>16</v>
      </c>
      <c r="E425" t="s">
        <v>536</v>
      </c>
      <c r="F425">
        <v>4.2</v>
      </c>
      <c r="G425">
        <v>88847</v>
      </c>
      <c r="H425" t="s">
        <v>18</v>
      </c>
      <c r="I425">
        <v>1726.08</v>
      </c>
      <c r="J425">
        <v>1035.6479999999999</v>
      </c>
      <c r="K425">
        <v>8.99</v>
      </c>
      <c r="L425">
        <v>465</v>
      </c>
      <c r="M425" t="s">
        <v>19</v>
      </c>
      <c r="N425">
        <v>5184</v>
      </c>
    </row>
    <row r="426" spans="1:14" x14ac:dyDescent="0.3">
      <c r="A426">
        <v>2001</v>
      </c>
      <c r="B426" t="s">
        <v>795</v>
      </c>
      <c r="C426" t="s">
        <v>226</v>
      </c>
      <c r="D426" t="s">
        <v>16</v>
      </c>
      <c r="E426" t="s">
        <v>23</v>
      </c>
      <c r="F426">
        <v>3.75</v>
      </c>
      <c r="G426">
        <v>93498</v>
      </c>
      <c r="H426" t="s">
        <v>18</v>
      </c>
      <c r="I426">
        <v>1468.79</v>
      </c>
      <c r="J426">
        <v>881.274</v>
      </c>
      <c r="K426">
        <v>7.69</v>
      </c>
      <c r="L426">
        <v>468</v>
      </c>
      <c r="M426" t="s">
        <v>33</v>
      </c>
      <c r="N426">
        <v>5157</v>
      </c>
    </row>
    <row r="427" spans="1:14" x14ac:dyDescent="0.3">
      <c r="A427">
        <v>1984</v>
      </c>
      <c r="B427" t="s">
        <v>796</v>
      </c>
      <c r="C427" t="s">
        <v>797</v>
      </c>
      <c r="D427" t="s">
        <v>16</v>
      </c>
      <c r="E427" t="s">
        <v>536</v>
      </c>
      <c r="F427">
        <v>4.29</v>
      </c>
      <c r="G427">
        <v>91625</v>
      </c>
      <c r="H427" t="s">
        <v>18</v>
      </c>
      <c r="I427">
        <v>948.1</v>
      </c>
      <c r="J427">
        <v>0</v>
      </c>
      <c r="K427">
        <v>4.99</v>
      </c>
      <c r="L427">
        <v>470</v>
      </c>
      <c r="M427" t="s">
        <v>26</v>
      </c>
      <c r="N427">
        <v>5130</v>
      </c>
    </row>
    <row r="428" spans="1:14" x14ac:dyDescent="0.3">
      <c r="A428">
        <v>2010</v>
      </c>
      <c r="B428" t="s">
        <v>798</v>
      </c>
      <c r="C428" t="s">
        <v>750</v>
      </c>
      <c r="D428" t="s">
        <v>16</v>
      </c>
      <c r="E428" t="s">
        <v>23</v>
      </c>
      <c r="F428">
        <v>3.91</v>
      </c>
      <c r="G428">
        <v>125363</v>
      </c>
      <c r="H428" t="s">
        <v>18</v>
      </c>
      <c r="I428">
        <v>376.11</v>
      </c>
      <c r="J428">
        <v>0</v>
      </c>
      <c r="K428">
        <v>1.99</v>
      </c>
      <c r="L428">
        <v>471</v>
      </c>
      <c r="M428" t="s">
        <v>26</v>
      </c>
      <c r="N428">
        <v>5103</v>
      </c>
    </row>
    <row r="429" spans="1:14" x14ac:dyDescent="0.3">
      <c r="A429">
        <v>1908</v>
      </c>
      <c r="B429" t="s">
        <v>799</v>
      </c>
      <c r="C429" t="s">
        <v>800</v>
      </c>
      <c r="D429" t="s">
        <v>22</v>
      </c>
      <c r="E429" t="s">
        <v>52</v>
      </c>
      <c r="F429">
        <v>4.42</v>
      </c>
      <c r="G429">
        <v>92142</v>
      </c>
      <c r="H429" t="s">
        <v>18</v>
      </c>
      <c r="I429">
        <v>1510.11</v>
      </c>
      <c r="J429">
        <v>906.06600000000003</v>
      </c>
      <c r="K429">
        <v>7.99</v>
      </c>
      <c r="L429">
        <v>472</v>
      </c>
      <c r="M429" t="s">
        <v>45</v>
      </c>
      <c r="N429">
        <v>5103</v>
      </c>
    </row>
    <row r="430" spans="1:14" x14ac:dyDescent="0.3">
      <c r="A430">
        <v>1916</v>
      </c>
      <c r="B430" t="s">
        <v>801</v>
      </c>
      <c r="C430" t="s">
        <v>802</v>
      </c>
      <c r="D430" t="s">
        <v>22</v>
      </c>
      <c r="E430" t="s">
        <v>23</v>
      </c>
      <c r="F430">
        <v>3.6</v>
      </c>
      <c r="G430">
        <v>92569</v>
      </c>
      <c r="H430" t="s">
        <v>29</v>
      </c>
      <c r="I430">
        <v>565.11</v>
      </c>
      <c r="J430">
        <v>339.06599999999997</v>
      </c>
      <c r="K430">
        <v>2.99</v>
      </c>
      <c r="L430">
        <v>472</v>
      </c>
      <c r="M430" t="s">
        <v>45</v>
      </c>
      <c r="N430">
        <v>5103</v>
      </c>
    </row>
    <row r="431" spans="1:14" x14ac:dyDescent="0.3">
      <c r="A431">
        <v>2009</v>
      </c>
      <c r="B431" t="s">
        <v>803</v>
      </c>
      <c r="C431" t="s">
        <v>804</v>
      </c>
      <c r="D431" t="s">
        <v>22</v>
      </c>
      <c r="E431" t="s">
        <v>536</v>
      </c>
      <c r="F431">
        <v>4.34</v>
      </c>
      <c r="G431">
        <v>94095</v>
      </c>
      <c r="H431" t="s">
        <v>18</v>
      </c>
      <c r="I431">
        <v>750.12</v>
      </c>
      <c r="J431">
        <v>0</v>
      </c>
      <c r="K431">
        <v>3.99</v>
      </c>
      <c r="L431">
        <v>473</v>
      </c>
      <c r="M431" t="s">
        <v>26</v>
      </c>
      <c r="N431">
        <v>5076</v>
      </c>
    </row>
    <row r="432" spans="1:14" x14ac:dyDescent="0.3">
      <c r="A432">
        <v>1871</v>
      </c>
      <c r="B432" t="s">
        <v>805</v>
      </c>
      <c r="C432" t="s">
        <v>806</v>
      </c>
      <c r="D432" t="s">
        <v>22</v>
      </c>
      <c r="E432" t="s">
        <v>23</v>
      </c>
      <c r="F432">
        <v>3.93</v>
      </c>
      <c r="G432">
        <v>95995</v>
      </c>
      <c r="H432" t="s">
        <v>40</v>
      </c>
      <c r="I432">
        <v>186.12</v>
      </c>
      <c r="J432">
        <v>0</v>
      </c>
      <c r="K432">
        <v>0.99</v>
      </c>
      <c r="L432">
        <v>474</v>
      </c>
      <c r="M432" t="s">
        <v>26</v>
      </c>
      <c r="N432">
        <v>5076</v>
      </c>
    </row>
    <row r="433" spans="1:14" x14ac:dyDescent="0.3">
      <c r="A433">
        <v>2012</v>
      </c>
      <c r="B433" t="s">
        <v>807</v>
      </c>
      <c r="C433" t="s">
        <v>42</v>
      </c>
      <c r="D433" t="s">
        <v>22</v>
      </c>
      <c r="E433" t="s">
        <v>536</v>
      </c>
      <c r="F433">
        <v>4.3</v>
      </c>
      <c r="G433">
        <v>109344</v>
      </c>
      <c r="H433" t="s">
        <v>18</v>
      </c>
      <c r="I433">
        <v>185.13</v>
      </c>
      <c r="J433">
        <v>0</v>
      </c>
      <c r="K433">
        <v>0.99</v>
      </c>
      <c r="L433">
        <v>475</v>
      </c>
      <c r="M433" t="s">
        <v>26</v>
      </c>
      <c r="N433">
        <v>5049</v>
      </c>
    </row>
    <row r="434" spans="1:14" x14ac:dyDescent="0.3">
      <c r="A434">
        <v>1997</v>
      </c>
      <c r="B434" t="s">
        <v>808</v>
      </c>
      <c r="C434" t="s">
        <v>158</v>
      </c>
      <c r="D434" t="s">
        <v>22</v>
      </c>
      <c r="E434" t="s">
        <v>23</v>
      </c>
      <c r="F434">
        <v>3.89</v>
      </c>
      <c r="G434">
        <v>86870</v>
      </c>
      <c r="H434" t="s">
        <v>18</v>
      </c>
      <c r="I434">
        <v>746.13</v>
      </c>
      <c r="J434">
        <v>0</v>
      </c>
      <c r="K434">
        <v>3.99</v>
      </c>
      <c r="L434">
        <v>476</v>
      </c>
      <c r="M434" t="s">
        <v>26</v>
      </c>
      <c r="N434">
        <v>5049</v>
      </c>
    </row>
    <row r="435" spans="1:14" x14ac:dyDescent="0.3">
      <c r="A435">
        <v>1973</v>
      </c>
      <c r="B435" t="s">
        <v>809</v>
      </c>
      <c r="C435" t="s">
        <v>810</v>
      </c>
      <c r="D435" t="s">
        <v>22</v>
      </c>
      <c r="E435" t="s">
        <v>52</v>
      </c>
      <c r="F435">
        <v>4.59</v>
      </c>
      <c r="G435">
        <v>90907</v>
      </c>
      <c r="H435" t="s">
        <v>18</v>
      </c>
      <c r="I435">
        <v>184.14</v>
      </c>
      <c r="J435">
        <v>110.48399999999999</v>
      </c>
      <c r="K435">
        <v>0.99</v>
      </c>
      <c r="L435">
        <v>477</v>
      </c>
      <c r="M435" t="s">
        <v>26</v>
      </c>
      <c r="N435">
        <v>5022</v>
      </c>
    </row>
    <row r="436" spans="1:14" x14ac:dyDescent="0.3">
      <c r="A436">
        <v>2009</v>
      </c>
      <c r="B436" t="s">
        <v>811</v>
      </c>
      <c r="C436" t="s">
        <v>812</v>
      </c>
      <c r="D436" t="s">
        <v>22</v>
      </c>
      <c r="E436" t="s">
        <v>536</v>
      </c>
      <c r="F436">
        <v>4.12</v>
      </c>
      <c r="G436">
        <v>90483</v>
      </c>
      <c r="H436" t="s">
        <v>18</v>
      </c>
      <c r="I436">
        <v>1114.1400000000001</v>
      </c>
      <c r="J436">
        <v>668.48400000000004</v>
      </c>
      <c r="K436">
        <v>5.99</v>
      </c>
      <c r="L436">
        <v>478</v>
      </c>
      <c r="M436" t="s">
        <v>33</v>
      </c>
      <c r="N436">
        <v>5022</v>
      </c>
    </row>
    <row r="437" spans="1:14" x14ac:dyDescent="0.3">
      <c r="A437">
        <v>1986</v>
      </c>
      <c r="B437" t="s">
        <v>813</v>
      </c>
      <c r="C437" t="s">
        <v>814</v>
      </c>
      <c r="D437" t="s">
        <v>22</v>
      </c>
      <c r="E437" t="s">
        <v>536</v>
      </c>
      <c r="F437">
        <v>4.0999999999999996</v>
      </c>
      <c r="G437">
        <v>91774</v>
      </c>
      <c r="H437" t="s">
        <v>18</v>
      </c>
      <c r="I437">
        <v>553.15</v>
      </c>
      <c r="J437">
        <v>331.89</v>
      </c>
      <c r="K437">
        <v>2.99</v>
      </c>
      <c r="L437">
        <v>479</v>
      </c>
      <c r="M437" t="s">
        <v>26</v>
      </c>
      <c r="N437">
        <v>4995</v>
      </c>
    </row>
    <row r="438" spans="1:14" x14ac:dyDescent="0.3">
      <c r="A438">
        <v>1989</v>
      </c>
      <c r="B438" t="s">
        <v>815</v>
      </c>
      <c r="C438" t="s">
        <v>73</v>
      </c>
      <c r="D438" t="s">
        <v>22</v>
      </c>
      <c r="E438" t="s">
        <v>23</v>
      </c>
      <c r="F438">
        <v>3.74</v>
      </c>
      <c r="G438">
        <v>94624</v>
      </c>
      <c r="H438" t="s">
        <v>18</v>
      </c>
      <c r="I438">
        <v>550.16</v>
      </c>
      <c r="J438">
        <v>330.096</v>
      </c>
      <c r="K438">
        <v>2.99</v>
      </c>
      <c r="L438">
        <v>482</v>
      </c>
      <c r="M438" t="s">
        <v>133</v>
      </c>
      <c r="N438">
        <v>4968</v>
      </c>
    </row>
    <row r="439" spans="1:14" x14ac:dyDescent="0.3">
      <c r="A439">
        <v>2006</v>
      </c>
      <c r="B439" t="s">
        <v>816</v>
      </c>
      <c r="C439" t="s">
        <v>817</v>
      </c>
      <c r="D439" t="s">
        <v>22</v>
      </c>
      <c r="E439" t="s">
        <v>23</v>
      </c>
      <c r="F439">
        <v>3.62</v>
      </c>
      <c r="G439">
        <v>73994</v>
      </c>
      <c r="H439" t="s">
        <v>18</v>
      </c>
      <c r="I439">
        <v>181.17</v>
      </c>
      <c r="J439">
        <v>0</v>
      </c>
      <c r="K439">
        <v>0.99</v>
      </c>
      <c r="L439">
        <v>483</v>
      </c>
      <c r="M439" t="s">
        <v>26</v>
      </c>
      <c r="N439">
        <v>4941</v>
      </c>
    </row>
    <row r="440" spans="1:14" x14ac:dyDescent="0.3">
      <c r="A440">
        <v>2005</v>
      </c>
      <c r="B440" t="s">
        <v>818</v>
      </c>
      <c r="C440" t="s">
        <v>819</v>
      </c>
      <c r="D440" t="s">
        <v>16</v>
      </c>
      <c r="E440" t="s">
        <v>23</v>
      </c>
      <c r="F440">
        <v>3.66</v>
      </c>
      <c r="G440">
        <v>78271</v>
      </c>
      <c r="H440" t="s">
        <v>18</v>
      </c>
      <c r="I440">
        <v>544.17999999999995</v>
      </c>
      <c r="J440">
        <v>326.50799999999998</v>
      </c>
      <c r="K440">
        <v>2.99</v>
      </c>
      <c r="L440">
        <v>485</v>
      </c>
      <c r="M440" t="s">
        <v>30</v>
      </c>
      <c r="N440">
        <v>4914</v>
      </c>
    </row>
    <row r="441" spans="1:14" x14ac:dyDescent="0.3">
      <c r="A441">
        <v>2013</v>
      </c>
      <c r="B441" t="s">
        <v>820</v>
      </c>
      <c r="C441" t="s">
        <v>90</v>
      </c>
      <c r="D441" t="s">
        <v>22</v>
      </c>
      <c r="E441" t="s">
        <v>536</v>
      </c>
      <c r="F441">
        <v>4.16</v>
      </c>
      <c r="G441">
        <v>76261</v>
      </c>
      <c r="H441" t="s">
        <v>18</v>
      </c>
      <c r="I441">
        <v>1243.06</v>
      </c>
      <c r="J441">
        <v>745.83600000000001</v>
      </c>
      <c r="K441">
        <v>6.83</v>
      </c>
      <c r="L441">
        <v>486</v>
      </c>
      <c r="M441" t="s">
        <v>33</v>
      </c>
      <c r="N441">
        <v>4914</v>
      </c>
    </row>
    <row r="442" spans="1:14" x14ac:dyDescent="0.3">
      <c r="A442">
        <v>1995</v>
      </c>
      <c r="B442" t="s">
        <v>821</v>
      </c>
      <c r="C442" t="s">
        <v>822</v>
      </c>
      <c r="D442" t="s">
        <v>16</v>
      </c>
      <c r="E442" t="s">
        <v>536</v>
      </c>
      <c r="F442">
        <v>4.1500000000000004</v>
      </c>
      <c r="G442">
        <v>95421</v>
      </c>
      <c r="H442" t="s">
        <v>18</v>
      </c>
      <c r="I442">
        <v>903.19</v>
      </c>
      <c r="J442">
        <v>0</v>
      </c>
      <c r="K442">
        <v>4.99</v>
      </c>
      <c r="L442">
        <v>488</v>
      </c>
      <c r="M442" t="s">
        <v>26</v>
      </c>
      <c r="N442">
        <v>4887</v>
      </c>
    </row>
    <row r="443" spans="1:14" x14ac:dyDescent="0.3">
      <c r="A443">
        <v>1864</v>
      </c>
      <c r="B443" t="s">
        <v>821</v>
      </c>
      <c r="C443" t="s">
        <v>823</v>
      </c>
      <c r="D443" t="s">
        <v>22</v>
      </c>
      <c r="E443" t="s">
        <v>23</v>
      </c>
      <c r="F443">
        <v>3.84</v>
      </c>
      <c r="G443">
        <v>89410</v>
      </c>
      <c r="H443" t="s">
        <v>40</v>
      </c>
      <c r="I443">
        <v>1726.2</v>
      </c>
      <c r="J443">
        <v>1035.72</v>
      </c>
      <c r="K443">
        <v>9.59</v>
      </c>
      <c r="L443">
        <v>489</v>
      </c>
      <c r="M443" t="s">
        <v>133</v>
      </c>
      <c r="N443">
        <v>4860</v>
      </c>
    </row>
    <row r="444" spans="1:14" x14ac:dyDescent="0.3">
      <c r="A444">
        <v>2009</v>
      </c>
      <c r="B444" t="s">
        <v>824</v>
      </c>
      <c r="C444" t="s">
        <v>825</v>
      </c>
      <c r="D444" t="s">
        <v>22</v>
      </c>
      <c r="E444" t="s">
        <v>23</v>
      </c>
      <c r="F444">
        <v>3.57</v>
      </c>
      <c r="G444">
        <v>94456</v>
      </c>
      <c r="H444" t="s">
        <v>18</v>
      </c>
      <c r="I444">
        <v>177.21</v>
      </c>
      <c r="J444">
        <v>106.32599999999999</v>
      </c>
      <c r="K444">
        <v>0.99</v>
      </c>
      <c r="L444">
        <v>491</v>
      </c>
      <c r="M444" t="s">
        <v>26</v>
      </c>
      <c r="N444">
        <v>4833</v>
      </c>
    </row>
    <row r="445" spans="1:14" x14ac:dyDescent="0.3">
      <c r="A445">
        <v>1962</v>
      </c>
      <c r="B445" t="s">
        <v>826</v>
      </c>
      <c r="C445" t="s">
        <v>827</v>
      </c>
      <c r="D445" t="s">
        <v>22</v>
      </c>
      <c r="E445" t="s">
        <v>23</v>
      </c>
      <c r="F445">
        <v>3.66</v>
      </c>
      <c r="G445">
        <v>84180</v>
      </c>
      <c r="H445" t="s">
        <v>18</v>
      </c>
      <c r="I445">
        <v>2280.46</v>
      </c>
      <c r="J445">
        <v>1368.2760000000001</v>
      </c>
      <c r="K445">
        <v>12.74</v>
      </c>
      <c r="L445">
        <v>492</v>
      </c>
      <c r="M445" t="s">
        <v>30</v>
      </c>
      <c r="N445">
        <v>4833</v>
      </c>
    </row>
    <row r="446" spans="1:14" x14ac:dyDescent="0.3">
      <c r="A446">
        <v>1974</v>
      </c>
      <c r="B446" t="s">
        <v>828</v>
      </c>
      <c r="C446" t="s">
        <v>829</v>
      </c>
      <c r="D446" t="s">
        <v>92</v>
      </c>
      <c r="E446" t="s">
        <v>23</v>
      </c>
      <c r="F446">
        <v>4</v>
      </c>
      <c r="G446">
        <v>92158</v>
      </c>
      <c r="H446" t="s">
        <v>18</v>
      </c>
      <c r="I446">
        <v>176.22</v>
      </c>
      <c r="J446">
        <v>0</v>
      </c>
      <c r="K446">
        <v>0.99</v>
      </c>
      <c r="L446">
        <v>493</v>
      </c>
      <c r="M446" t="s">
        <v>26</v>
      </c>
      <c r="N446">
        <v>4806</v>
      </c>
    </row>
    <row r="447" spans="1:14" x14ac:dyDescent="0.3">
      <c r="A447">
        <v>1320</v>
      </c>
      <c r="B447" t="s">
        <v>830</v>
      </c>
      <c r="C447" t="s">
        <v>831</v>
      </c>
      <c r="D447" t="s">
        <v>22</v>
      </c>
      <c r="E447" t="s">
        <v>52</v>
      </c>
      <c r="F447">
        <v>4.4400000000000004</v>
      </c>
      <c r="G447">
        <v>90574</v>
      </c>
      <c r="H447" t="s">
        <v>40</v>
      </c>
      <c r="I447">
        <v>532.22</v>
      </c>
      <c r="J447">
        <v>319.33199999999999</v>
      </c>
      <c r="K447">
        <v>2.99</v>
      </c>
      <c r="L447">
        <v>493</v>
      </c>
      <c r="M447" t="s">
        <v>30</v>
      </c>
      <c r="N447">
        <v>4806</v>
      </c>
    </row>
    <row r="448" spans="1:14" x14ac:dyDescent="0.3">
      <c r="A448">
        <v>1320</v>
      </c>
      <c r="B448" t="s">
        <v>830</v>
      </c>
      <c r="C448" t="s">
        <v>832</v>
      </c>
      <c r="D448" t="s">
        <v>22</v>
      </c>
      <c r="E448" t="s">
        <v>23</v>
      </c>
      <c r="F448">
        <v>3.99</v>
      </c>
      <c r="G448">
        <v>87511</v>
      </c>
      <c r="H448" t="s">
        <v>29</v>
      </c>
      <c r="I448">
        <v>354.22</v>
      </c>
      <c r="J448">
        <v>212.53200000000001</v>
      </c>
      <c r="K448">
        <v>1.99</v>
      </c>
      <c r="L448">
        <v>493</v>
      </c>
      <c r="M448" t="s">
        <v>30</v>
      </c>
      <c r="N448">
        <v>4806</v>
      </c>
    </row>
    <row r="449" spans="1:14" x14ac:dyDescent="0.3">
      <c r="A449">
        <v>2012</v>
      </c>
      <c r="B449" t="s">
        <v>833</v>
      </c>
      <c r="C449" t="s">
        <v>834</v>
      </c>
      <c r="D449" t="s">
        <v>22</v>
      </c>
      <c r="E449" t="s">
        <v>536</v>
      </c>
      <c r="F449">
        <v>4.04</v>
      </c>
      <c r="G449">
        <v>97925</v>
      </c>
      <c r="H449" t="s">
        <v>18</v>
      </c>
      <c r="I449">
        <v>1242.44</v>
      </c>
      <c r="J449">
        <v>745.46400000000006</v>
      </c>
      <c r="K449">
        <v>6.98</v>
      </c>
      <c r="L449">
        <v>494</v>
      </c>
      <c r="M449" t="s">
        <v>26</v>
      </c>
      <c r="N449">
        <v>4806</v>
      </c>
    </row>
    <row r="450" spans="1:14" x14ac:dyDescent="0.3">
      <c r="A450">
        <v>2014</v>
      </c>
      <c r="B450" t="s">
        <v>835</v>
      </c>
      <c r="C450" t="s">
        <v>194</v>
      </c>
      <c r="D450" t="s">
        <v>22</v>
      </c>
      <c r="E450" t="s">
        <v>23</v>
      </c>
      <c r="F450">
        <v>3.94</v>
      </c>
      <c r="G450">
        <v>76553</v>
      </c>
      <c r="H450" t="s">
        <v>29</v>
      </c>
      <c r="I450">
        <v>175.23</v>
      </c>
      <c r="J450">
        <v>105.13800000000001</v>
      </c>
      <c r="K450">
        <v>0.99</v>
      </c>
      <c r="L450">
        <v>495</v>
      </c>
      <c r="M450" t="s">
        <v>26</v>
      </c>
      <c r="N450">
        <v>4779</v>
      </c>
    </row>
    <row r="451" spans="1:14" x14ac:dyDescent="0.3">
      <c r="A451">
        <v>2006</v>
      </c>
      <c r="B451" t="s">
        <v>836</v>
      </c>
      <c r="C451" t="s">
        <v>837</v>
      </c>
      <c r="D451" t="s">
        <v>22</v>
      </c>
      <c r="E451" t="s">
        <v>536</v>
      </c>
      <c r="F451">
        <v>4.18</v>
      </c>
      <c r="G451">
        <v>129150</v>
      </c>
      <c r="H451" t="s">
        <v>18</v>
      </c>
      <c r="I451">
        <v>350.24</v>
      </c>
      <c r="J451">
        <v>0</v>
      </c>
      <c r="K451">
        <v>1.99</v>
      </c>
      <c r="L451">
        <v>497</v>
      </c>
      <c r="M451" t="s">
        <v>26</v>
      </c>
      <c r="N451">
        <v>4752</v>
      </c>
    </row>
    <row r="452" spans="1:14" x14ac:dyDescent="0.3">
      <c r="A452">
        <v>2006</v>
      </c>
      <c r="B452" t="s">
        <v>838</v>
      </c>
      <c r="C452" t="s">
        <v>839</v>
      </c>
      <c r="D452" t="s">
        <v>16</v>
      </c>
      <c r="E452" t="s">
        <v>23</v>
      </c>
      <c r="F452">
        <v>3.68</v>
      </c>
      <c r="G452">
        <v>116687</v>
      </c>
      <c r="H452" t="s">
        <v>18</v>
      </c>
      <c r="I452">
        <v>702.24</v>
      </c>
      <c r="J452">
        <v>421.34399999999999</v>
      </c>
      <c r="K452">
        <v>3.99</v>
      </c>
      <c r="L452">
        <v>497</v>
      </c>
      <c r="M452" t="s">
        <v>26</v>
      </c>
      <c r="N452">
        <v>4752</v>
      </c>
    </row>
    <row r="453" spans="1:14" x14ac:dyDescent="0.3">
      <c r="A453">
        <v>1994</v>
      </c>
      <c r="B453" t="s">
        <v>840</v>
      </c>
      <c r="C453" t="s">
        <v>841</v>
      </c>
      <c r="D453" t="s">
        <v>22</v>
      </c>
      <c r="E453" t="s">
        <v>536</v>
      </c>
      <c r="F453">
        <v>4.05</v>
      </c>
      <c r="G453">
        <v>96981</v>
      </c>
      <c r="H453" t="s">
        <v>18</v>
      </c>
      <c r="I453">
        <v>1230.24</v>
      </c>
      <c r="J453">
        <v>738.14400000000001</v>
      </c>
      <c r="K453">
        <v>6.99</v>
      </c>
      <c r="L453">
        <v>498</v>
      </c>
      <c r="M453" t="s">
        <v>19</v>
      </c>
      <c r="N453">
        <v>4752</v>
      </c>
    </row>
    <row r="454" spans="1:14" x14ac:dyDescent="0.3">
      <c r="A454">
        <v>2015</v>
      </c>
      <c r="B454" t="s">
        <v>842</v>
      </c>
      <c r="C454" t="s">
        <v>843</v>
      </c>
      <c r="D454" t="s">
        <v>22</v>
      </c>
      <c r="E454" t="s">
        <v>52</v>
      </c>
      <c r="F454">
        <v>4.4000000000000004</v>
      </c>
      <c r="G454">
        <v>74218</v>
      </c>
      <c r="H454" t="s">
        <v>18</v>
      </c>
      <c r="I454">
        <v>523.25</v>
      </c>
      <c r="J454">
        <v>0</v>
      </c>
      <c r="K454">
        <v>2.99</v>
      </c>
      <c r="L454">
        <v>499</v>
      </c>
      <c r="M454" t="s">
        <v>26</v>
      </c>
      <c r="N454">
        <v>4725</v>
      </c>
    </row>
    <row r="455" spans="1:14" x14ac:dyDescent="0.3">
      <c r="A455">
        <v>1667</v>
      </c>
      <c r="B455" t="s">
        <v>844</v>
      </c>
      <c r="C455" t="s">
        <v>845</v>
      </c>
      <c r="D455" t="s">
        <v>22</v>
      </c>
      <c r="E455" t="s">
        <v>23</v>
      </c>
      <c r="F455">
        <v>3.8</v>
      </c>
      <c r="G455">
        <v>96316</v>
      </c>
      <c r="H455" t="s">
        <v>18</v>
      </c>
      <c r="I455">
        <v>868.26</v>
      </c>
      <c r="J455">
        <v>0</v>
      </c>
      <c r="K455">
        <v>4.99</v>
      </c>
      <c r="L455">
        <v>502</v>
      </c>
      <c r="M455" t="s">
        <v>26</v>
      </c>
      <c r="N455">
        <v>4698</v>
      </c>
    </row>
    <row r="456" spans="1:14" x14ac:dyDescent="0.3">
      <c r="A456">
        <v>2009</v>
      </c>
      <c r="B456" t="s">
        <v>846</v>
      </c>
      <c r="C456" t="s">
        <v>847</v>
      </c>
      <c r="D456" t="s">
        <v>16</v>
      </c>
      <c r="E456" t="s">
        <v>536</v>
      </c>
      <c r="F456">
        <v>4.26</v>
      </c>
      <c r="G456">
        <v>37090</v>
      </c>
      <c r="H456" t="s">
        <v>29</v>
      </c>
      <c r="I456">
        <v>1216.26</v>
      </c>
      <c r="J456">
        <v>729.75599999999997</v>
      </c>
      <c r="K456">
        <v>6.99</v>
      </c>
      <c r="L456">
        <v>502</v>
      </c>
      <c r="M456" t="s">
        <v>65</v>
      </c>
      <c r="N456">
        <v>4698</v>
      </c>
    </row>
    <row r="457" spans="1:14" x14ac:dyDescent="0.3">
      <c r="A457">
        <v>1999</v>
      </c>
      <c r="B457" t="s">
        <v>848</v>
      </c>
      <c r="C457" t="s">
        <v>73</v>
      </c>
      <c r="D457" t="s">
        <v>22</v>
      </c>
      <c r="E457" t="s">
        <v>23</v>
      </c>
      <c r="F457">
        <v>3.56</v>
      </c>
      <c r="G457">
        <v>95768</v>
      </c>
      <c r="H457" t="s">
        <v>40</v>
      </c>
      <c r="I457">
        <v>1346.76</v>
      </c>
      <c r="J457">
        <v>808.05600000000004</v>
      </c>
      <c r="K457">
        <v>7.74</v>
      </c>
      <c r="L457">
        <v>503</v>
      </c>
      <c r="M457" t="s">
        <v>26</v>
      </c>
      <c r="N457">
        <v>4698</v>
      </c>
    </row>
    <row r="458" spans="1:14" x14ac:dyDescent="0.3">
      <c r="A458">
        <v>2011</v>
      </c>
      <c r="B458" t="s">
        <v>849</v>
      </c>
      <c r="C458" t="s">
        <v>850</v>
      </c>
      <c r="D458" t="s">
        <v>22</v>
      </c>
      <c r="E458" t="s">
        <v>536</v>
      </c>
      <c r="F458">
        <v>4.3600000000000003</v>
      </c>
      <c r="G458">
        <v>104579</v>
      </c>
      <c r="H458" t="s">
        <v>18</v>
      </c>
      <c r="I458">
        <v>1842.45</v>
      </c>
      <c r="J458">
        <v>1105.47</v>
      </c>
      <c r="K458">
        <v>10.65</v>
      </c>
      <c r="L458">
        <v>505</v>
      </c>
      <c r="M458" t="s">
        <v>45</v>
      </c>
      <c r="N458">
        <v>4671</v>
      </c>
    </row>
    <row r="459" spans="1:14" x14ac:dyDescent="0.3">
      <c r="A459">
        <v>2010</v>
      </c>
      <c r="B459" t="s">
        <v>851</v>
      </c>
      <c r="C459" t="s">
        <v>804</v>
      </c>
      <c r="D459" t="s">
        <v>16</v>
      </c>
      <c r="E459" t="s">
        <v>52</v>
      </c>
      <c r="F459">
        <v>4.42</v>
      </c>
      <c r="G459">
        <v>91383</v>
      </c>
      <c r="H459" t="s">
        <v>29</v>
      </c>
      <c r="I459">
        <v>344.27</v>
      </c>
      <c r="J459">
        <v>206.56200000000001</v>
      </c>
      <c r="K459">
        <v>1.99</v>
      </c>
      <c r="L459">
        <v>505</v>
      </c>
      <c r="M459" t="s">
        <v>26</v>
      </c>
      <c r="N459">
        <v>4671</v>
      </c>
    </row>
    <row r="460" spans="1:14" x14ac:dyDescent="0.3">
      <c r="A460">
        <v>1971</v>
      </c>
      <c r="B460" t="s">
        <v>852</v>
      </c>
      <c r="C460" t="s">
        <v>853</v>
      </c>
      <c r="D460" t="s">
        <v>22</v>
      </c>
      <c r="E460" t="s">
        <v>536</v>
      </c>
      <c r="F460">
        <v>4.25</v>
      </c>
      <c r="G460">
        <v>85883</v>
      </c>
      <c r="H460" t="s">
        <v>18</v>
      </c>
      <c r="I460">
        <v>171.27</v>
      </c>
      <c r="J460">
        <v>0</v>
      </c>
      <c r="K460">
        <v>0.99</v>
      </c>
      <c r="L460">
        <v>508</v>
      </c>
      <c r="M460" t="s">
        <v>26</v>
      </c>
      <c r="N460">
        <v>4671</v>
      </c>
    </row>
    <row r="461" spans="1:14" x14ac:dyDescent="0.3">
      <c r="A461">
        <v>2010</v>
      </c>
      <c r="B461" t="s">
        <v>854</v>
      </c>
      <c r="C461" t="s">
        <v>855</v>
      </c>
      <c r="D461" t="s">
        <v>22</v>
      </c>
      <c r="E461" t="s">
        <v>23</v>
      </c>
      <c r="F461">
        <v>3.93</v>
      </c>
      <c r="G461">
        <v>88626</v>
      </c>
      <c r="H461" t="s">
        <v>18</v>
      </c>
      <c r="I461">
        <v>517.27</v>
      </c>
      <c r="J461">
        <v>310.36200000000002</v>
      </c>
      <c r="K461">
        <v>2.99</v>
      </c>
      <c r="L461">
        <v>509</v>
      </c>
      <c r="M461" t="s">
        <v>65</v>
      </c>
      <c r="N461">
        <v>4671</v>
      </c>
    </row>
    <row r="462" spans="1:14" x14ac:dyDescent="0.3">
      <c r="A462">
        <v>2011</v>
      </c>
      <c r="B462" t="s">
        <v>856</v>
      </c>
      <c r="C462" t="s">
        <v>542</v>
      </c>
      <c r="D462" t="s">
        <v>22</v>
      </c>
      <c r="E462" t="s">
        <v>23</v>
      </c>
      <c r="F462">
        <v>3.95</v>
      </c>
      <c r="G462">
        <v>105414</v>
      </c>
      <c r="H462" t="s">
        <v>18</v>
      </c>
      <c r="I462">
        <v>170.28</v>
      </c>
      <c r="J462">
        <v>102.16800000000001</v>
      </c>
      <c r="K462">
        <v>0.99</v>
      </c>
      <c r="L462">
        <v>511</v>
      </c>
      <c r="M462" t="s">
        <v>26</v>
      </c>
      <c r="N462">
        <v>4644</v>
      </c>
    </row>
    <row r="463" spans="1:14" x14ac:dyDescent="0.3">
      <c r="A463">
        <v>2005</v>
      </c>
      <c r="B463" t="s">
        <v>857</v>
      </c>
      <c r="C463" t="s">
        <v>858</v>
      </c>
      <c r="D463" t="s">
        <v>22</v>
      </c>
      <c r="E463" t="s">
        <v>23</v>
      </c>
      <c r="F463">
        <v>3.88</v>
      </c>
      <c r="G463">
        <v>89204</v>
      </c>
      <c r="H463" t="s">
        <v>18</v>
      </c>
      <c r="I463">
        <v>1632.28</v>
      </c>
      <c r="J463">
        <v>979.36800000000005</v>
      </c>
      <c r="K463">
        <v>9.49</v>
      </c>
      <c r="L463">
        <v>513</v>
      </c>
      <c r="M463" t="s">
        <v>33</v>
      </c>
      <c r="N463">
        <v>4644</v>
      </c>
    </row>
    <row r="464" spans="1:14" x14ac:dyDescent="0.3">
      <c r="A464">
        <v>2012</v>
      </c>
      <c r="B464" t="s">
        <v>859</v>
      </c>
      <c r="C464" t="s">
        <v>860</v>
      </c>
      <c r="D464" t="s">
        <v>22</v>
      </c>
      <c r="E464" t="s">
        <v>536</v>
      </c>
      <c r="F464">
        <v>4.04</v>
      </c>
      <c r="G464">
        <v>85582</v>
      </c>
      <c r="H464" t="s">
        <v>18</v>
      </c>
      <c r="I464">
        <v>340.29</v>
      </c>
      <c r="J464">
        <v>0</v>
      </c>
      <c r="K464">
        <v>1.99</v>
      </c>
      <c r="L464">
        <v>514</v>
      </c>
      <c r="M464" t="s">
        <v>26</v>
      </c>
      <c r="N464">
        <v>4617</v>
      </c>
    </row>
    <row r="465" spans="1:14" x14ac:dyDescent="0.3">
      <c r="A465">
        <v>1972</v>
      </c>
      <c r="B465" t="s">
        <v>861</v>
      </c>
      <c r="C465" t="s">
        <v>862</v>
      </c>
      <c r="D465" t="s">
        <v>22</v>
      </c>
      <c r="E465" t="s">
        <v>536</v>
      </c>
      <c r="F465">
        <v>4.3099999999999996</v>
      </c>
      <c r="G465">
        <v>64779</v>
      </c>
      <c r="H465" t="s">
        <v>18</v>
      </c>
      <c r="I465">
        <v>1024.29</v>
      </c>
      <c r="J465">
        <v>0</v>
      </c>
      <c r="K465">
        <v>5.99</v>
      </c>
      <c r="L465">
        <v>514</v>
      </c>
      <c r="M465" t="s">
        <v>26</v>
      </c>
      <c r="N465">
        <v>4617</v>
      </c>
    </row>
    <row r="466" spans="1:14" x14ac:dyDescent="0.3">
      <c r="A466">
        <v>2011</v>
      </c>
      <c r="B466" t="s">
        <v>863</v>
      </c>
      <c r="C466" t="s">
        <v>864</v>
      </c>
      <c r="D466" t="s">
        <v>22</v>
      </c>
      <c r="E466" t="s">
        <v>536</v>
      </c>
      <c r="F466">
        <v>4.09</v>
      </c>
      <c r="G466">
        <v>83847</v>
      </c>
      <c r="H466" t="s">
        <v>29</v>
      </c>
      <c r="I466">
        <v>1879.29</v>
      </c>
      <c r="J466">
        <v>1127.5740000000001</v>
      </c>
      <c r="K466">
        <v>10.99</v>
      </c>
      <c r="L466">
        <v>516</v>
      </c>
      <c r="M466" t="s">
        <v>133</v>
      </c>
      <c r="N466">
        <v>4617</v>
      </c>
    </row>
    <row r="467" spans="1:14" x14ac:dyDescent="0.3">
      <c r="A467">
        <v>1997</v>
      </c>
      <c r="B467" t="s">
        <v>865</v>
      </c>
      <c r="C467" t="s">
        <v>719</v>
      </c>
      <c r="D467" t="s">
        <v>16</v>
      </c>
      <c r="E467" t="s">
        <v>536</v>
      </c>
      <c r="F467">
        <v>4.1399999999999997</v>
      </c>
      <c r="G467">
        <v>113400</v>
      </c>
      <c r="H467" t="s">
        <v>18</v>
      </c>
      <c r="I467">
        <v>1109.79</v>
      </c>
      <c r="J467">
        <v>665.87400000000002</v>
      </c>
      <c r="K467">
        <v>6.49</v>
      </c>
      <c r="L467">
        <v>517</v>
      </c>
      <c r="M467" t="s">
        <v>30</v>
      </c>
      <c r="N467">
        <v>4617</v>
      </c>
    </row>
    <row r="468" spans="1:14" x14ac:dyDescent="0.3">
      <c r="A468">
        <v>1905</v>
      </c>
      <c r="B468" t="s">
        <v>866</v>
      </c>
      <c r="C468" t="s">
        <v>867</v>
      </c>
      <c r="D468" t="s">
        <v>22</v>
      </c>
      <c r="E468" t="s">
        <v>536</v>
      </c>
      <c r="F468">
        <v>4.0599999999999996</v>
      </c>
      <c r="G468">
        <v>93217</v>
      </c>
      <c r="H468" t="s">
        <v>29</v>
      </c>
      <c r="I468">
        <v>648.09</v>
      </c>
      <c r="J468">
        <v>388.85399999999998</v>
      </c>
      <c r="K468">
        <v>3.79</v>
      </c>
      <c r="L468">
        <v>517</v>
      </c>
      <c r="M468" t="s">
        <v>30</v>
      </c>
      <c r="N468">
        <v>4617</v>
      </c>
    </row>
    <row r="469" spans="1:14" x14ac:dyDescent="0.3">
      <c r="A469">
        <v>1971</v>
      </c>
      <c r="B469" t="s">
        <v>868</v>
      </c>
      <c r="C469" t="s">
        <v>869</v>
      </c>
      <c r="D469" t="s">
        <v>22</v>
      </c>
      <c r="E469" t="s">
        <v>52</v>
      </c>
      <c r="F469">
        <v>4.45</v>
      </c>
      <c r="G469">
        <v>102184</v>
      </c>
      <c r="H469" t="s">
        <v>18</v>
      </c>
      <c r="I469">
        <v>340.29</v>
      </c>
      <c r="J469">
        <v>0</v>
      </c>
      <c r="K469">
        <v>1.99</v>
      </c>
      <c r="L469">
        <v>518</v>
      </c>
      <c r="M469" t="s">
        <v>26</v>
      </c>
      <c r="N469">
        <v>4617</v>
      </c>
    </row>
    <row r="470" spans="1:14" x14ac:dyDescent="0.3">
      <c r="A470">
        <v>1972</v>
      </c>
      <c r="B470" t="s">
        <v>870</v>
      </c>
      <c r="C470" t="s">
        <v>204</v>
      </c>
      <c r="D470" t="s">
        <v>22</v>
      </c>
      <c r="E470" t="s">
        <v>536</v>
      </c>
      <c r="F470">
        <v>4.09</v>
      </c>
      <c r="G470">
        <v>106435</v>
      </c>
      <c r="H470" t="s">
        <v>18</v>
      </c>
      <c r="I470">
        <v>508.3</v>
      </c>
      <c r="J470">
        <v>304.98</v>
      </c>
      <c r="K470">
        <v>2.99</v>
      </c>
      <c r="L470">
        <v>519</v>
      </c>
      <c r="M470" t="s">
        <v>33</v>
      </c>
      <c r="N470">
        <v>4590</v>
      </c>
    </row>
    <row r="471" spans="1:14" x14ac:dyDescent="0.3">
      <c r="A471">
        <v>2012</v>
      </c>
      <c r="B471" t="s">
        <v>871</v>
      </c>
      <c r="C471" t="s">
        <v>872</v>
      </c>
      <c r="D471" t="s">
        <v>22</v>
      </c>
      <c r="E471" t="s">
        <v>536</v>
      </c>
      <c r="F471">
        <v>4.05</v>
      </c>
      <c r="G471">
        <v>135225</v>
      </c>
      <c r="H471" t="s">
        <v>29</v>
      </c>
      <c r="I471">
        <v>678.3</v>
      </c>
      <c r="J471">
        <v>0</v>
      </c>
      <c r="K471">
        <v>3.99</v>
      </c>
      <c r="L471">
        <v>519</v>
      </c>
      <c r="M471" t="s">
        <v>26</v>
      </c>
      <c r="N471">
        <v>4590</v>
      </c>
    </row>
    <row r="472" spans="1:14" x14ac:dyDescent="0.3">
      <c r="A472">
        <v>2009</v>
      </c>
      <c r="B472" t="s">
        <v>873</v>
      </c>
      <c r="C472" t="s">
        <v>874</v>
      </c>
      <c r="D472" t="s">
        <v>22</v>
      </c>
      <c r="E472" t="s">
        <v>17</v>
      </c>
      <c r="F472">
        <v>3.22</v>
      </c>
      <c r="G472">
        <v>74979</v>
      </c>
      <c r="H472" t="s">
        <v>18</v>
      </c>
      <c r="I472">
        <v>848.3</v>
      </c>
      <c r="J472">
        <v>0</v>
      </c>
      <c r="K472">
        <v>4.99</v>
      </c>
      <c r="L472">
        <v>520</v>
      </c>
      <c r="M472" t="s">
        <v>26</v>
      </c>
      <c r="N472">
        <v>4590</v>
      </c>
    </row>
    <row r="473" spans="1:14" x14ac:dyDescent="0.3">
      <c r="A473">
        <v>2013</v>
      </c>
      <c r="B473" t="s">
        <v>875</v>
      </c>
      <c r="C473" t="s">
        <v>363</v>
      </c>
      <c r="D473" t="s">
        <v>22</v>
      </c>
      <c r="E473" t="s">
        <v>536</v>
      </c>
      <c r="F473">
        <v>4.37</v>
      </c>
      <c r="G473">
        <v>114623</v>
      </c>
      <c r="H473" t="s">
        <v>40</v>
      </c>
      <c r="I473">
        <v>1688.31</v>
      </c>
      <c r="J473">
        <v>1012.986</v>
      </c>
      <c r="K473">
        <v>9.99</v>
      </c>
      <c r="L473">
        <v>523</v>
      </c>
      <c r="M473" t="s">
        <v>65</v>
      </c>
      <c r="N473">
        <v>4563</v>
      </c>
    </row>
    <row r="474" spans="1:14" x14ac:dyDescent="0.3">
      <c r="A474">
        <v>1985</v>
      </c>
      <c r="B474" t="s">
        <v>876</v>
      </c>
      <c r="C474" t="s">
        <v>877</v>
      </c>
      <c r="D474" t="s">
        <v>22</v>
      </c>
      <c r="E474" t="s">
        <v>536</v>
      </c>
      <c r="F474">
        <v>4.1100000000000003</v>
      </c>
      <c r="G474">
        <v>90917</v>
      </c>
      <c r="H474" t="s">
        <v>18</v>
      </c>
      <c r="I474">
        <v>1350.31</v>
      </c>
      <c r="J474">
        <v>810.18600000000004</v>
      </c>
      <c r="K474">
        <v>7.99</v>
      </c>
      <c r="L474">
        <v>524</v>
      </c>
      <c r="M474" t="s">
        <v>45</v>
      </c>
      <c r="N474">
        <v>4563</v>
      </c>
    </row>
    <row r="475" spans="1:14" x14ac:dyDescent="0.3">
      <c r="A475">
        <v>2011</v>
      </c>
      <c r="B475" t="s">
        <v>878</v>
      </c>
      <c r="C475" t="s">
        <v>879</v>
      </c>
      <c r="D475" t="s">
        <v>16</v>
      </c>
      <c r="E475" t="s">
        <v>23</v>
      </c>
      <c r="F475">
        <v>4</v>
      </c>
      <c r="G475">
        <v>108370</v>
      </c>
      <c r="H475" t="s">
        <v>18</v>
      </c>
      <c r="I475">
        <v>674.31</v>
      </c>
      <c r="J475">
        <v>404.58600000000001</v>
      </c>
      <c r="K475">
        <v>3.99</v>
      </c>
      <c r="L475">
        <v>524</v>
      </c>
      <c r="M475" t="s">
        <v>26</v>
      </c>
      <c r="N475">
        <v>4563</v>
      </c>
    </row>
    <row r="476" spans="1:14" x14ac:dyDescent="0.3">
      <c r="A476">
        <v>1999</v>
      </c>
      <c r="B476" t="s">
        <v>880</v>
      </c>
      <c r="C476" t="s">
        <v>881</v>
      </c>
      <c r="D476" t="s">
        <v>16</v>
      </c>
      <c r="E476" t="s">
        <v>23</v>
      </c>
      <c r="F476">
        <v>3.75</v>
      </c>
      <c r="G476">
        <v>82474</v>
      </c>
      <c r="H476" t="s">
        <v>29</v>
      </c>
      <c r="I476">
        <v>167.31</v>
      </c>
      <c r="J476">
        <v>100.386</v>
      </c>
      <c r="K476">
        <v>0.99</v>
      </c>
      <c r="L476">
        <v>524</v>
      </c>
      <c r="M476" t="s">
        <v>26</v>
      </c>
      <c r="N476">
        <v>4563</v>
      </c>
    </row>
    <row r="477" spans="1:14" x14ac:dyDescent="0.3">
      <c r="A477">
        <v>2012</v>
      </c>
      <c r="B477" t="s">
        <v>882</v>
      </c>
      <c r="C477" t="s">
        <v>883</v>
      </c>
      <c r="D477" t="s">
        <v>22</v>
      </c>
      <c r="E477" t="s">
        <v>23</v>
      </c>
      <c r="F477">
        <v>3.97</v>
      </c>
      <c r="G477">
        <v>61422</v>
      </c>
      <c r="H477" t="s">
        <v>18</v>
      </c>
      <c r="I477">
        <v>2153.06</v>
      </c>
      <c r="J477">
        <v>1291.836</v>
      </c>
      <c r="K477">
        <v>12.74</v>
      </c>
      <c r="L477">
        <v>525</v>
      </c>
      <c r="M477" t="s">
        <v>133</v>
      </c>
      <c r="N477">
        <v>4563</v>
      </c>
    </row>
    <row r="478" spans="1:14" x14ac:dyDescent="0.3">
      <c r="A478">
        <v>2004</v>
      </c>
      <c r="B478" t="s">
        <v>884</v>
      </c>
      <c r="C478" t="s">
        <v>175</v>
      </c>
      <c r="D478" t="s">
        <v>92</v>
      </c>
      <c r="E478" t="s">
        <v>23</v>
      </c>
      <c r="F478">
        <v>3.79</v>
      </c>
      <c r="G478">
        <v>83607</v>
      </c>
      <c r="H478" t="s">
        <v>40</v>
      </c>
      <c r="I478">
        <v>1294.54</v>
      </c>
      <c r="J478">
        <v>776.72400000000005</v>
      </c>
      <c r="K478">
        <v>7.66</v>
      </c>
      <c r="L478">
        <v>526</v>
      </c>
      <c r="M478" t="s">
        <v>65</v>
      </c>
      <c r="N478">
        <v>4563</v>
      </c>
    </row>
    <row r="479" spans="1:14" x14ac:dyDescent="0.3">
      <c r="A479">
        <v>2011</v>
      </c>
      <c r="B479" t="s">
        <v>885</v>
      </c>
      <c r="C479" t="s">
        <v>886</v>
      </c>
      <c r="D479" t="s">
        <v>22</v>
      </c>
      <c r="E479" t="s">
        <v>536</v>
      </c>
      <c r="F479">
        <v>4.17</v>
      </c>
      <c r="G479">
        <v>97938</v>
      </c>
      <c r="H479" t="s">
        <v>29</v>
      </c>
      <c r="I479">
        <v>1843.79</v>
      </c>
      <c r="J479">
        <v>1106.2739999999999</v>
      </c>
      <c r="K479">
        <v>10.91</v>
      </c>
      <c r="L479">
        <v>526</v>
      </c>
      <c r="M479" t="s">
        <v>133</v>
      </c>
      <c r="N479">
        <v>4563</v>
      </c>
    </row>
    <row r="480" spans="1:14" x14ac:dyDescent="0.3">
      <c r="A480">
        <v>2013</v>
      </c>
      <c r="B480" t="s">
        <v>887</v>
      </c>
      <c r="C480" t="s">
        <v>888</v>
      </c>
      <c r="D480" t="s">
        <v>22</v>
      </c>
      <c r="E480" t="s">
        <v>23</v>
      </c>
      <c r="F480">
        <v>3.54</v>
      </c>
      <c r="G480">
        <v>76566</v>
      </c>
      <c r="H480" t="s">
        <v>18</v>
      </c>
      <c r="I480">
        <v>1342.32</v>
      </c>
      <c r="J480">
        <v>805.39200000000005</v>
      </c>
      <c r="K480">
        <v>7.99</v>
      </c>
      <c r="L480">
        <v>528</v>
      </c>
      <c r="M480" t="s">
        <v>19</v>
      </c>
      <c r="N480">
        <v>4536</v>
      </c>
    </row>
    <row r="481" spans="1:14" x14ac:dyDescent="0.3">
      <c r="A481">
        <v>1988</v>
      </c>
      <c r="B481" t="s">
        <v>889</v>
      </c>
      <c r="C481" t="s">
        <v>890</v>
      </c>
      <c r="D481" t="s">
        <v>16</v>
      </c>
      <c r="E481" t="s">
        <v>52</v>
      </c>
      <c r="F481">
        <v>4.6500000000000004</v>
      </c>
      <c r="G481">
        <v>93001</v>
      </c>
      <c r="H481" t="s">
        <v>18</v>
      </c>
      <c r="I481">
        <v>166.32</v>
      </c>
      <c r="J481">
        <v>0</v>
      </c>
      <c r="K481">
        <v>0.99</v>
      </c>
      <c r="L481">
        <v>530</v>
      </c>
      <c r="M481" t="s">
        <v>26</v>
      </c>
      <c r="N481">
        <v>4536</v>
      </c>
    </row>
    <row r="482" spans="1:14" x14ac:dyDescent="0.3">
      <c r="A482">
        <v>2008</v>
      </c>
      <c r="B482" t="s">
        <v>891</v>
      </c>
      <c r="C482" t="s">
        <v>700</v>
      </c>
      <c r="D482" t="s">
        <v>22</v>
      </c>
      <c r="E482" t="s">
        <v>23</v>
      </c>
      <c r="F482">
        <v>4</v>
      </c>
      <c r="G482">
        <v>95796</v>
      </c>
      <c r="H482" t="s">
        <v>18</v>
      </c>
      <c r="I482">
        <v>1291.92</v>
      </c>
      <c r="J482">
        <v>775.15200000000004</v>
      </c>
      <c r="K482">
        <v>7.69</v>
      </c>
      <c r="L482">
        <v>531</v>
      </c>
      <c r="M482" t="s">
        <v>33</v>
      </c>
      <c r="N482">
        <v>4536</v>
      </c>
    </row>
    <row r="483" spans="1:14" x14ac:dyDescent="0.3">
      <c r="A483">
        <v>2012</v>
      </c>
      <c r="B483" t="s">
        <v>892</v>
      </c>
      <c r="C483" t="s">
        <v>189</v>
      </c>
      <c r="D483" t="s">
        <v>22</v>
      </c>
      <c r="E483" t="s">
        <v>536</v>
      </c>
      <c r="F483">
        <v>4.13</v>
      </c>
      <c r="G483">
        <v>89460</v>
      </c>
      <c r="H483" t="s">
        <v>18</v>
      </c>
      <c r="I483">
        <v>332.33</v>
      </c>
      <c r="J483">
        <v>199.398</v>
      </c>
      <c r="K483">
        <v>1.99</v>
      </c>
      <c r="L483">
        <v>532</v>
      </c>
      <c r="M483" t="s">
        <v>19</v>
      </c>
      <c r="N483">
        <v>4509</v>
      </c>
    </row>
    <row r="484" spans="1:14" x14ac:dyDescent="0.3">
      <c r="A484">
        <v>1953</v>
      </c>
      <c r="B484" t="s">
        <v>893</v>
      </c>
      <c r="C484" t="s">
        <v>894</v>
      </c>
      <c r="D484" t="s">
        <v>22</v>
      </c>
      <c r="E484" t="s">
        <v>536</v>
      </c>
      <c r="F484">
        <v>4.1399999999999997</v>
      </c>
      <c r="G484">
        <v>93640</v>
      </c>
      <c r="H484" t="s">
        <v>40</v>
      </c>
      <c r="I484">
        <v>165.33</v>
      </c>
      <c r="J484">
        <v>0</v>
      </c>
      <c r="K484">
        <v>0.99</v>
      </c>
      <c r="L484">
        <v>534</v>
      </c>
      <c r="M484" t="s">
        <v>26</v>
      </c>
      <c r="N484">
        <v>4509</v>
      </c>
    </row>
    <row r="485" spans="1:14" x14ac:dyDescent="0.3">
      <c r="A485">
        <v>1984</v>
      </c>
      <c r="B485" t="s">
        <v>895</v>
      </c>
      <c r="C485" t="s">
        <v>164</v>
      </c>
      <c r="D485" t="s">
        <v>22</v>
      </c>
      <c r="E485" t="s">
        <v>536</v>
      </c>
      <c r="F485">
        <v>4.08</v>
      </c>
      <c r="G485">
        <v>93774</v>
      </c>
      <c r="H485" t="s">
        <v>18</v>
      </c>
      <c r="I485">
        <v>1985.63</v>
      </c>
      <c r="J485">
        <v>1191.3779999999999</v>
      </c>
      <c r="K485">
        <v>11.89</v>
      </c>
      <c r="L485">
        <v>535</v>
      </c>
      <c r="M485" t="s">
        <v>19</v>
      </c>
      <c r="N485">
        <v>4509</v>
      </c>
    </row>
    <row r="486" spans="1:14" x14ac:dyDescent="0.3">
      <c r="A486">
        <v>1927</v>
      </c>
      <c r="B486" t="s">
        <v>896</v>
      </c>
      <c r="C486" t="s">
        <v>897</v>
      </c>
      <c r="D486" t="s">
        <v>22</v>
      </c>
      <c r="E486" t="s">
        <v>536</v>
      </c>
      <c r="F486">
        <v>4.1100000000000003</v>
      </c>
      <c r="G486">
        <v>80769</v>
      </c>
      <c r="H486" t="s">
        <v>29</v>
      </c>
      <c r="I486">
        <v>833.33</v>
      </c>
      <c r="J486">
        <v>499.99799999999999</v>
      </c>
      <c r="K486">
        <v>4.99</v>
      </c>
      <c r="L486">
        <v>535</v>
      </c>
      <c r="M486" t="s">
        <v>26</v>
      </c>
      <c r="N486">
        <v>4509</v>
      </c>
    </row>
    <row r="487" spans="1:14" x14ac:dyDescent="0.3">
      <c r="A487">
        <v>2001</v>
      </c>
      <c r="B487" t="s">
        <v>898</v>
      </c>
      <c r="C487" t="s">
        <v>899</v>
      </c>
      <c r="D487" t="s">
        <v>92</v>
      </c>
      <c r="E487" t="s">
        <v>536</v>
      </c>
      <c r="F487">
        <v>4.0999999999999996</v>
      </c>
      <c r="G487">
        <v>89468</v>
      </c>
      <c r="H487" t="s">
        <v>40</v>
      </c>
      <c r="I487">
        <v>1835.33</v>
      </c>
      <c r="J487">
        <v>1101.1980000000001</v>
      </c>
      <c r="K487">
        <v>10.99</v>
      </c>
      <c r="L487">
        <v>536</v>
      </c>
      <c r="M487" t="s">
        <v>45</v>
      </c>
      <c r="N487">
        <v>4509</v>
      </c>
    </row>
    <row r="488" spans="1:14" x14ac:dyDescent="0.3">
      <c r="A488">
        <v>2012</v>
      </c>
      <c r="B488" t="s">
        <v>900</v>
      </c>
      <c r="C488" t="s">
        <v>96</v>
      </c>
      <c r="D488" t="s">
        <v>22</v>
      </c>
      <c r="E488" t="s">
        <v>23</v>
      </c>
      <c r="F488">
        <v>3.95</v>
      </c>
      <c r="G488">
        <v>80991</v>
      </c>
      <c r="H488" t="s">
        <v>18</v>
      </c>
      <c r="I488">
        <v>1152.04</v>
      </c>
      <c r="J488">
        <v>691.22400000000005</v>
      </c>
      <c r="K488">
        <v>6.94</v>
      </c>
      <c r="L488">
        <v>537</v>
      </c>
      <c r="M488" t="s">
        <v>45</v>
      </c>
      <c r="N488">
        <v>4482</v>
      </c>
    </row>
    <row r="489" spans="1:14" x14ac:dyDescent="0.3">
      <c r="A489">
        <v>1996</v>
      </c>
      <c r="B489" t="s">
        <v>901</v>
      </c>
      <c r="C489" t="s">
        <v>162</v>
      </c>
      <c r="D489" t="s">
        <v>22</v>
      </c>
      <c r="E489" t="s">
        <v>536</v>
      </c>
      <c r="F489">
        <v>4.21</v>
      </c>
      <c r="G489">
        <v>82608</v>
      </c>
      <c r="H489" t="s">
        <v>29</v>
      </c>
      <c r="I489">
        <v>164.34</v>
      </c>
      <c r="J489">
        <v>0</v>
      </c>
      <c r="K489">
        <v>0.99</v>
      </c>
      <c r="L489">
        <v>538</v>
      </c>
      <c r="M489" t="s">
        <v>26</v>
      </c>
      <c r="N489">
        <v>4482</v>
      </c>
    </row>
    <row r="490" spans="1:14" x14ac:dyDescent="0.3">
      <c r="A490">
        <v>1953</v>
      </c>
      <c r="B490" t="s">
        <v>902</v>
      </c>
      <c r="C490" t="s">
        <v>693</v>
      </c>
      <c r="D490" t="s">
        <v>16</v>
      </c>
      <c r="E490" t="s">
        <v>536</v>
      </c>
      <c r="F490">
        <v>4.09</v>
      </c>
      <c r="G490">
        <v>87141</v>
      </c>
      <c r="H490" t="s">
        <v>18</v>
      </c>
      <c r="I490">
        <v>1226.74</v>
      </c>
      <c r="J490">
        <v>0</v>
      </c>
      <c r="K490">
        <v>7.39</v>
      </c>
      <c r="L490">
        <v>539</v>
      </c>
      <c r="M490" t="s">
        <v>26</v>
      </c>
      <c r="N490">
        <v>4482</v>
      </c>
    </row>
    <row r="491" spans="1:14" x14ac:dyDescent="0.3">
      <c r="A491">
        <v>2004</v>
      </c>
      <c r="B491" t="s">
        <v>903</v>
      </c>
      <c r="C491" t="s">
        <v>904</v>
      </c>
      <c r="D491" t="s">
        <v>16</v>
      </c>
      <c r="E491" t="s">
        <v>23</v>
      </c>
      <c r="F491">
        <v>4</v>
      </c>
      <c r="G491">
        <v>113066</v>
      </c>
      <c r="H491" t="s">
        <v>18</v>
      </c>
      <c r="I491">
        <v>1153.3499999999999</v>
      </c>
      <c r="J491">
        <v>692.01</v>
      </c>
      <c r="K491">
        <v>6.99</v>
      </c>
      <c r="L491">
        <v>541</v>
      </c>
      <c r="M491" t="s">
        <v>33</v>
      </c>
      <c r="N491">
        <v>4455</v>
      </c>
    </row>
    <row r="492" spans="1:14" x14ac:dyDescent="0.3">
      <c r="A492">
        <v>2007</v>
      </c>
      <c r="B492" t="s">
        <v>905</v>
      </c>
      <c r="C492" t="s">
        <v>906</v>
      </c>
      <c r="D492" t="s">
        <v>16</v>
      </c>
      <c r="E492" t="s">
        <v>536</v>
      </c>
      <c r="F492">
        <v>4.03</v>
      </c>
      <c r="G492">
        <v>83881</v>
      </c>
      <c r="H492" t="s">
        <v>18</v>
      </c>
      <c r="I492">
        <v>823.35</v>
      </c>
      <c r="J492">
        <v>494.01</v>
      </c>
      <c r="K492">
        <v>4.99</v>
      </c>
      <c r="L492">
        <v>542</v>
      </c>
      <c r="M492" t="s">
        <v>26</v>
      </c>
      <c r="N492">
        <v>4455</v>
      </c>
    </row>
    <row r="493" spans="1:14" x14ac:dyDescent="0.3">
      <c r="A493">
        <v>2014</v>
      </c>
      <c r="B493" t="s">
        <v>907</v>
      </c>
      <c r="C493" t="s">
        <v>432</v>
      </c>
      <c r="D493" t="s">
        <v>22</v>
      </c>
      <c r="E493" t="s">
        <v>52</v>
      </c>
      <c r="F493">
        <v>4.53</v>
      </c>
      <c r="G493">
        <v>123843</v>
      </c>
      <c r="H493" t="s">
        <v>18</v>
      </c>
      <c r="I493">
        <v>163.35</v>
      </c>
      <c r="J493">
        <v>98.01</v>
      </c>
      <c r="K493">
        <v>0.99</v>
      </c>
      <c r="L493">
        <v>543</v>
      </c>
      <c r="M493" t="s">
        <v>30</v>
      </c>
      <c r="N493">
        <v>4455</v>
      </c>
    </row>
    <row r="494" spans="1:14" x14ac:dyDescent="0.3">
      <c r="A494">
        <v>1994</v>
      </c>
      <c r="B494" t="s">
        <v>908</v>
      </c>
      <c r="C494" t="s">
        <v>378</v>
      </c>
      <c r="D494" t="s">
        <v>22</v>
      </c>
      <c r="E494" t="s">
        <v>536</v>
      </c>
      <c r="F494">
        <v>4.0999999999999996</v>
      </c>
      <c r="G494">
        <v>91046</v>
      </c>
      <c r="H494" t="s">
        <v>29</v>
      </c>
      <c r="I494">
        <v>823.35</v>
      </c>
      <c r="J494">
        <v>494.01</v>
      </c>
      <c r="K494">
        <v>4.99</v>
      </c>
      <c r="L494">
        <v>544</v>
      </c>
      <c r="M494" t="s">
        <v>30</v>
      </c>
      <c r="N494">
        <v>4455</v>
      </c>
    </row>
    <row r="495" spans="1:14" x14ac:dyDescent="0.3">
      <c r="A495">
        <v>2009</v>
      </c>
      <c r="B495" t="s">
        <v>908</v>
      </c>
      <c r="C495" t="s">
        <v>909</v>
      </c>
      <c r="D495" t="s">
        <v>22</v>
      </c>
      <c r="E495" t="s">
        <v>23</v>
      </c>
      <c r="F495">
        <v>3.81</v>
      </c>
      <c r="G495">
        <v>99841</v>
      </c>
      <c r="H495" t="s">
        <v>18</v>
      </c>
      <c r="I495">
        <v>1757.25</v>
      </c>
      <c r="J495">
        <v>1054.3499999999999</v>
      </c>
      <c r="K495">
        <v>10.65</v>
      </c>
      <c r="L495">
        <v>545</v>
      </c>
      <c r="M495" t="s">
        <v>33</v>
      </c>
      <c r="N495">
        <v>4455</v>
      </c>
    </row>
    <row r="496" spans="1:14" x14ac:dyDescent="0.3">
      <c r="A496">
        <v>2003</v>
      </c>
      <c r="B496" t="s">
        <v>910</v>
      </c>
      <c r="C496" t="s">
        <v>911</v>
      </c>
      <c r="D496" t="s">
        <v>16</v>
      </c>
      <c r="E496" t="s">
        <v>23</v>
      </c>
      <c r="F496">
        <v>3.92</v>
      </c>
      <c r="G496">
        <v>82090</v>
      </c>
      <c r="H496" t="s">
        <v>18</v>
      </c>
      <c r="I496">
        <v>162.36000000000001</v>
      </c>
      <c r="J496">
        <v>0</v>
      </c>
      <c r="K496">
        <v>0.99</v>
      </c>
      <c r="L496">
        <v>546</v>
      </c>
      <c r="M496" t="s">
        <v>26</v>
      </c>
      <c r="N496">
        <v>4428</v>
      </c>
    </row>
    <row r="497" spans="1:14" x14ac:dyDescent="0.3">
      <c r="A497">
        <v>2005</v>
      </c>
      <c r="B497" t="s">
        <v>912</v>
      </c>
      <c r="C497" t="s">
        <v>75</v>
      </c>
      <c r="D497" t="s">
        <v>22</v>
      </c>
      <c r="E497" t="s">
        <v>52</v>
      </c>
      <c r="F497">
        <v>4.43</v>
      </c>
      <c r="G497">
        <v>87098</v>
      </c>
      <c r="H497" t="s">
        <v>40</v>
      </c>
      <c r="I497">
        <v>1746.6</v>
      </c>
      <c r="J497">
        <v>1047.96</v>
      </c>
      <c r="K497">
        <v>10.65</v>
      </c>
      <c r="L497">
        <v>547</v>
      </c>
      <c r="M497" t="s">
        <v>33</v>
      </c>
      <c r="N497">
        <v>4428</v>
      </c>
    </row>
    <row r="498" spans="1:14" x14ac:dyDescent="0.3">
      <c r="A498">
        <v>2014</v>
      </c>
      <c r="B498" t="s">
        <v>913</v>
      </c>
      <c r="C498" t="s">
        <v>313</v>
      </c>
      <c r="D498" t="s">
        <v>22</v>
      </c>
      <c r="E498" t="s">
        <v>52</v>
      </c>
      <c r="F498">
        <v>4.41</v>
      </c>
      <c r="G498">
        <v>110719</v>
      </c>
      <c r="H498" t="s">
        <v>18</v>
      </c>
      <c r="I498">
        <v>162.36000000000001</v>
      </c>
      <c r="J498">
        <v>97.415999999999997</v>
      </c>
      <c r="K498">
        <v>0.99</v>
      </c>
      <c r="L498">
        <v>549</v>
      </c>
      <c r="M498" t="s">
        <v>26</v>
      </c>
      <c r="N498">
        <v>4428</v>
      </c>
    </row>
    <row r="499" spans="1:14" x14ac:dyDescent="0.3">
      <c r="A499">
        <v>2016</v>
      </c>
      <c r="B499" t="s">
        <v>914</v>
      </c>
      <c r="C499" t="s">
        <v>915</v>
      </c>
      <c r="D499" t="s">
        <v>22</v>
      </c>
      <c r="E499" t="s">
        <v>23</v>
      </c>
      <c r="F499">
        <v>3.55</v>
      </c>
      <c r="G499">
        <v>90477</v>
      </c>
      <c r="H499" t="s">
        <v>18</v>
      </c>
      <c r="I499">
        <v>162.36000000000001</v>
      </c>
      <c r="J499">
        <v>0</v>
      </c>
      <c r="K499">
        <v>0.99</v>
      </c>
      <c r="L499">
        <v>549</v>
      </c>
      <c r="M499" t="s">
        <v>26</v>
      </c>
      <c r="N499">
        <v>4428</v>
      </c>
    </row>
    <row r="500" spans="1:14" x14ac:dyDescent="0.3">
      <c r="A500">
        <v>2012</v>
      </c>
      <c r="B500" t="s">
        <v>916</v>
      </c>
      <c r="C500" t="s">
        <v>917</v>
      </c>
      <c r="D500" t="s">
        <v>22</v>
      </c>
      <c r="E500" t="s">
        <v>536</v>
      </c>
      <c r="F500">
        <v>4.25</v>
      </c>
      <c r="G500">
        <v>131906</v>
      </c>
      <c r="H500" t="s">
        <v>18</v>
      </c>
      <c r="I500">
        <v>162.36000000000001</v>
      </c>
      <c r="J500">
        <v>97.415999999999997</v>
      </c>
      <c r="K500">
        <v>0.99</v>
      </c>
      <c r="L500">
        <v>550</v>
      </c>
      <c r="M500" t="s">
        <v>26</v>
      </c>
      <c r="N500">
        <v>4428</v>
      </c>
    </row>
    <row r="501" spans="1:14" x14ac:dyDescent="0.3">
      <c r="A501">
        <v>2011</v>
      </c>
      <c r="B501" t="s">
        <v>918</v>
      </c>
      <c r="C501" t="s">
        <v>919</v>
      </c>
      <c r="D501" t="s">
        <v>22</v>
      </c>
      <c r="E501" t="s">
        <v>23</v>
      </c>
      <c r="F501">
        <v>3.99</v>
      </c>
      <c r="G501">
        <v>81712</v>
      </c>
      <c r="H501" t="s">
        <v>18</v>
      </c>
      <c r="I501">
        <v>324.37</v>
      </c>
      <c r="J501">
        <v>194.62200000000001</v>
      </c>
      <c r="K501">
        <v>1.99</v>
      </c>
      <c r="L501">
        <v>551</v>
      </c>
      <c r="M501" t="s">
        <v>26</v>
      </c>
      <c r="N501">
        <v>4401</v>
      </c>
    </row>
    <row r="502" spans="1:14" x14ac:dyDescent="0.3">
      <c r="A502">
        <v>1964</v>
      </c>
      <c r="B502" t="s">
        <v>920</v>
      </c>
      <c r="C502" t="s">
        <v>921</v>
      </c>
      <c r="D502" t="s">
        <v>22</v>
      </c>
      <c r="E502" t="s">
        <v>536</v>
      </c>
      <c r="F502">
        <v>4.04</v>
      </c>
      <c r="G502">
        <v>69992</v>
      </c>
      <c r="H502" t="s">
        <v>18</v>
      </c>
      <c r="I502">
        <v>813.37</v>
      </c>
      <c r="J502">
        <v>488.02199999999999</v>
      </c>
      <c r="K502">
        <v>4.99</v>
      </c>
      <c r="L502">
        <v>551</v>
      </c>
      <c r="M502" t="s">
        <v>33</v>
      </c>
      <c r="N502">
        <v>4401</v>
      </c>
    </row>
    <row r="503" spans="1:14" x14ac:dyDescent="0.3">
      <c r="A503">
        <v>2006</v>
      </c>
      <c r="B503" t="s">
        <v>922</v>
      </c>
      <c r="C503" t="s">
        <v>923</v>
      </c>
      <c r="D503" t="s">
        <v>22</v>
      </c>
      <c r="E503" t="s">
        <v>536</v>
      </c>
      <c r="F503">
        <v>4.08</v>
      </c>
      <c r="G503">
        <v>99390</v>
      </c>
      <c r="H503" t="s">
        <v>18</v>
      </c>
      <c r="I503">
        <v>1470.26</v>
      </c>
      <c r="J503">
        <v>882.15599999999995</v>
      </c>
      <c r="K503">
        <v>9.02</v>
      </c>
      <c r="L503">
        <v>553</v>
      </c>
      <c r="M503" t="s">
        <v>45</v>
      </c>
      <c r="N503">
        <v>4401</v>
      </c>
    </row>
    <row r="504" spans="1:14" x14ac:dyDescent="0.3">
      <c r="A504">
        <v>2000</v>
      </c>
      <c r="B504" t="s">
        <v>924</v>
      </c>
      <c r="C504" t="s">
        <v>652</v>
      </c>
      <c r="D504" t="s">
        <v>22</v>
      </c>
      <c r="E504" t="s">
        <v>23</v>
      </c>
      <c r="F504">
        <v>3.91</v>
      </c>
      <c r="G504">
        <v>118624</v>
      </c>
      <c r="H504" t="s">
        <v>18</v>
      </c>
      <c r="I504">
        <v>161.37</v>
      </c>
      <c r="J504">
        <v>96.822000000000003</v>
      </c>
      <c r="K504">
        <v>0.99</v>
      </c>
      <c r="L504">
        <v>554</v>
      </c>
      <c r="M504" t="s">
        <v>26</v>
      </c>
      <c r="N504">
        <v>4401</v>
      </c>
    </row>
    <row r="505" spans="1:14" x14ac:dyDescent="0.3">
      <c r="A505">
        <v>2001</v>
      </c>
      <c r="B505" t="s">
        <v>925</v>
      </c>
      <c r="C505" t="s">
        <v>682</v>
      </c>
      <c r="D505" t="s">
        <v>22</v>
      </c>
      <c r="E505" t="s">
        <v>536</v>
      </c>
      <c r="F505">
        <v>4.18</v>
      </c>
      <c r="G505">
        <v>97736</v>
      </c>
      <c r="H505" t="s">
        <v>40</v>
      </c>
      <c r="I505">
        <v>322.38</v>
      </c>
      <c r="J505">
        <v>193.428</v>
      </c>
      <c r="K505">
        <v>1.99</v>
      </c>
      <c r="L505">
        <v>557</v>
      </c>
      <c r="M505" t="s">
        <v>26</v>
      </c>
      <c r="N505">
        <v>4374</v>
      </c>
    </row>
    <row r="506" spans="1:14" x14ac:dyDescent="0.3">
      <c r="A506">
        <v>2007</v>
      </c>
      <c r="B506" t="s">
        <v>926</v>
      </c>
      <c r="C506" t="s">
        <v>927</v>
      </c>
      <c r="D506" t="s">
        <v>22</v>
      </c>
      <c r="E506" t="s">
        <v>536</v>
      </c>
      <c r="F506">
        <v>4.08</v>
      </c>
      <c r="G506">
        <v>71156</v>
      </c>
      <c r="H506" t="s">
        <v>40</v>
      </c>
      <c r="I506">
        <v>322.38</v>
      </c>
      <c r="J506">
        <v>193.428</v>
      </c>
      <c r="K506">
        <v>1.99</v>
      </c>
      <c r="L506">
        <v>557</v>
      </c>
      <c r="M506" t="s">
        <v>26</v>
      </c>
      <c r="N506">
        <v>4374</v>
      </c>
    </row>
    <row r="507" spans="1:14" x14ac:dyDescent="0.3">
      <c r="A507">
        <v>2011</v>
      </c>
      <c r="B507" t="s">
        <v>928</v>
      </c>
      <c r="C507" t="s">
        <v>812</v>
      </c>
      <c r="D507" t="s">
        <v>22</v>
      </c>
      <c r="E507" t="s">
        <v>536</v>
      </c>
      <c r="F507">
        <v>4.37</v>
      </c>
      <c r="G507">
        <v>83085</v>
      </c>
      <c r="H507" t="s">
        <v>18</v>
      </c>
      <c r="I507">
        <v>160.38</v>
      </c>
      <c r="J507">
        <v>96.227999999999994</v>
      </c>
      <c r="K507">
        <v>0.99</v>
      </c>
      <c r="L507">
        <v>558</v>
      </c>
      <c r="M507" t="s">
        <v>26</v>
      </c>
      <c r="N507">
        <v>4374</v>
      </c>
    </row>
    <row r="508" spans="1:14" x14ac:dyDescent="0.3">
      <c r="A508">
        <v>1998</v>
      </c>
      <c r="B508" t="s">
        <v>929</v>
      </c>
      <c r="C508" t="s">
        <v>158</v>
      </c>
      <c r="D508" t="s">
        <v>22</v>
      </c>
      <c r="E508" t="s">
        <v>23</v>
      </c>
      <c r="F508">
        <v>3.81</v>
      </c>
      <c r="G508">
        <v>80577</v>
      </c>
      <c r="H508" t="s">
        <v>18</v>
      </c>
      <c r="I508">
        <v>320.39</v>
      </c>
      <c r="J508">
        <v>192.23400000000001</v>
      </c>
      <c r="K508">
        <v>1.99</v>
      </c>
      <c r="L508">
        <v>561</v>
      </c>
      <c r="M508" t="s">
        <v>45</v>
      </c>
      <c r="N508">
        <v>4347</v>
      </c>
    </row>
    <row r="509" spans="1:14" x14ac:dyDescent="0.3">
      <c r="A509">
        <v>1976</v>
      </c>
      <c r="B509" t="s">
        <v>930</v>
      </c>
      <c r="C509" t="s">
        <v>931</v>
      </c>
      <c r="D509" t="s">
        <v>22</v>
      </c>
      <c r="E509" t="s">
        <v>23</v>
      </c>
      <c r="F509">
        <v>3.79</v>
      </c>
      <c r="G509">
        <v>92980</v>
      </c>
      <c r="H509" t="s">
        <v>40</v>
      </c>
      <c r="I509">
        <v>642.39</v>
      </c>
      <c r="J509">
        <v>385.43400000000003</v>
      </c>
      <c r="K509">
        <v>3.99</v>
      </c>
      <c r="L509">
        <v>561</v>
      </c>
      <c r="M509" t="s">
        <v>30</v>
      </c>
      <c r="N509">
        <v>4347</v>
      </c>
    </row>
    <row r="510" spans="1:14" x14ac:dyDescent="0.3">
      <c r="A510">
        <v>2009</v>
      </c>
      <c r="B510" t="s">
        <v>932</v>
      </c>
      <c r="C510" t="s">
        <v>933</v>
      </c>
      <c r="D510" t="s">
        <v>22</v>
      </c>
      <c r="E510" t="s">
        <v>17</v>
      </c>
      <c r="F510">
        <v>3.28</v>
      </c>
      <c r="G510">
        <v>103995</v>
      </c>
      <c r="H510" t="s">
        <v>18</v>
      </c>
      <c r="I510">
        <v>615.02</v>
      </c>
      <c r="J510">
        <v>369.012</v>
      </c>
      <c r="K510">
        <v>3.82</v>
      </c>
      <c r="L510">
        <v>562</v>
      </c>
      <c r="M510" t="s">
        <v>26</v>
      </c>
      <c r="N510">
        <v>4347</v>
      </c>
    </row>
    <row r="511" spans="1:14" x14ac:dyDescent="0.3">
      <c r="A511">
        <v>2013</v>
      </c>
      <c r="B511" t="s">
        <v>934</v>
      </c>
      <c r="C511" t="s">
        <v>28</v>
      </c>
      <c r="D511" t="s">
        <v>22</v>
      </c>
      <c r="E511" t="s">
        <v>23</v>
      </c>
      <c r="F511">
        <v>3.8</v>
      </c>
      <c r="G511">
        <v>81616</v>
      </c>
      <c r="H511" t="s">
        <v>18</v>
      </c>
      <c r="I511">
        <v>478.4</v>
      </c>
      <c r="J511">
        <v>287.04000000000002</v>
      </c>
      <c r="K511">
        <v>2.99</v>
      </c>
      <c r="L511">
        <v>565</v>
      </c>
      <c r="M511" t="s">
        <v>133</v>
      </c>
      <c r="N511">
        <v>4320</v>
      </c>
    </row>
    <row r="512" spans="1:14" x14ac:dyDescent="0.3">
      <c r="A512">
        <v>1868</v>
      </c>
      <c r="B512" t="s">
        <v>935</v>
      </c>
      <c r="C512" t="s">
        <v>936</v>
      </c>
      <c r="D512" t="s">
        <v>22</v>
      </c>
      <c r="E512" t="s">
        <v>536</v>
      </c>
      <c r="F512">
        <v>4.18</v>
      </c>
      <c r="G512">
        <v>74642</v>
      </c>
      <c r="H512" t="s">
        <v>29</v>
      </c>
      <c r="I512">
        <v>1438.4</v>
      </c>
      <c r="J512">
        <v>863.04</v>
      </c>
      <c r="K512">
        <v>8.99</v>
      </c>
      <c r="L512">
        <v>565</v>
      </c>
      <c r="M512" t="s">
        <v>33</v>
      </c>
      <c r="N512">
        <v>4320</v>
      </c>
    </row>
    <row r="513" spans="1:14" x14ac:dyDescent="0.3">
      <c r="A513">
        <v>1987</v>
      </c>
      <c r="B513" t="s">
        <v>937</v>
      </c>
      <c r="C513" t="s">
        <v>164</v>
      </c>
      <c r="D513" t="s">
        <v>16</v>
      </c>
      <c r="E513" t="s">
        <v>23</v>
      </c>
      <c r="F513">
        <v>3.97</v>
      </c>
      <c r="G513">
        <v>89569</v>
      </c>
      <c r="H513" t="s">
        <v>40</v>
      </c>
      <c r="I513">
        <v>478.4</v>
      </c>
      <c r="J513">
        <v>0</v>
      </c>
      <c r="K513">
        <v>2.99</v>
      </c>
      <c r="L513">
        <v>566</v>
      </c>
      <c r="M513" t="s">
        <v>26</v>
      </c>
      <c r="N513">
        <v>4320</v>
      </c>
    </row>
    <row r="514" spans="1:14" x14ac:dyDescent="0.3">
      <c r="A514">
        <v>2008</v>
      </c>
      <c r="B514" t="s">
        <v>938</v>
      </c>
      <c r="C514" t="s">
        <v>939</v>
      </c>
      <c r="D514" t="s">
        <v>16</v>
      </c>
      <c r="E514" t="s">
        <v>536</v>
      </c>
      <c r="F514">
        <v>4.0999999999999996</v>
      </c>
      <c r="G514">
        <v>91831</v>
      </c>
      <c r="H514" t="s">
        <v>18</v>
      </c>
      <c r="I514">
        <v>478.4</v>
      </c>
      <c r="J514">
        <v>0</v>
      </c>
      <c r="K514">
        <v>2.99</v>
      </c>
      <c r="L514">
        <v>567</v>
      </c>
      <c r="M514" t="s">
        <v>26</v>
      </c>
      <c r="N514">
        <v>4320</v>
      </c>
    </row>
    <row r="515" spans="1:14" x14ac:dyDescent="0.3">
      <c r="A515">
        <v>2015</v>
      </c>
      <c r="B515" t="s">
        <v>940</v>
      </c>
      <c r="C515" t="s">
        <v>941</v>
      </c>
      <c r="D515" t="s">
        <v>22</v>
      </c>
      <c r="E515" t="s">
        <v>23</v>
      </c>
      <c r="F515">
        <v>3.89</v>
      </c>
      <c r="G515">
        <v>74199</v>
      </c>
      <c r="H515" t="s">
        <v>18</v>
      </c>
      <c r="I515">
        <v>1598.4</v>
      </c>
      <c r="J515">
        <v>959.04</v>
      </c>
      <c r="K515">
        <v>9.99</v>
      </c>
      <c r="L515">
        <v>568</v>
      </c>
      <c r="M515" t="s">
        <v>45</v>
      </c>
      <c r="N515">
        <v>4320</v>
      </c>
    </row>
    <row r="516" spans="1:14" x14ac:dyDescent="0.3">
      <c r="A516">
        <v>2014</v>
      </c>
      <c r="B516" t="s">
        <v>942</v>
      </c>
      <c r="C516" t="s">
        <v>943</v>
      </c>
      <c r="D516" t="s">
        <v>22</v>
      </c>
      <c r="E516" t="s">
        <v>536</v>
      </c>
      <c r="F516">
        <v>4.0999999999999996</v>
      </c>
      <c r="G516">
        <v>97058</v>
      </c>
      <c r="H516" t="s">
        <v>29</v>
      </c>
      <c r="I516">
        <v>475.41</v>
      </c>
      <c r="J516">
        <v>0</v>
      </c>
      <c r="K516">
        <v>2.99</v>
      </c>
      <c r="L516">
        <v>570</v>
      </c>
      <c r="M516" t="s">
        <v>26</v>
      </c>
      <c r="N516">
        <v>4293</v>
      </c>
    </row>
    <row r="517" spans="1:14" x14ac:dyDescent="0.3">
      <c r="A517">
        <v>2015</v>
      </c>
      <c r="B517" t="s">
        <v>944</v>
      </c>
      <c r="C517" t="s">
        <v>945</v>
      </c>
      <c r="D517" t="s">
        <v>22</v>
      </c>
      <c r="E517" t="s">
        <v>23</v>
      </c>
      <c r="F517">
        <v>3.85</v>
      </c>
      <c r="G517">
        <v>94231</v>
      </c>
      <c r="H517" t="s">
        <v>18</v>
      </c>
      <c r="I517">
        <v>157.41</v>
      </c>
      <c r="J517">
        <v>0</v>
      </c>
      <c r="K517">
        <v>0.99</v>
      </c>
      <c r="L517">
        <v>571</v>
      </c>
      <c r="M517" t="s">
        <v>26</v>
      </c>
      <c r="N517">
        <v>4293</v>
      </c>
    </row>
    <row r="518" spans="1:14" x14ac:dyDescent="0.3">
      <c r="A518">
        <v>2012</v>
      </c>
      <c r="B518" t="s">
        <v>946</v>
      </c>
      <c r="C518" t="s">
        <v>947</v>
      </c>
      <c r="D518" t="s">
        <v>22</v>
      </c>
      <c r="E518" t="s">
        <v>536</v>
      </c>
      <c r="F518">
        <v>4.24</v>
      </c>
      <c r="G518">
        <v>85136</v>
      </c>
      <c r="H518" t="s">
        <v>18</v>
      </c>
      <c r="I518">
        <v>475.41</v>
      </c>
      <c r="J518">
        <v>0</v>
      </c>
      <c r="K518">
        <v>2.99</v>
      </c>
      <c r="L518">
        <v>572</v>
      </c>
      <c r="M518" t="s">
        <v>26</v>
      </c>
      <c r="N518">
        <v>4293</v>
      </c>
    </row>
    <row r="519" spans="1:14" x14ac:dyDescent="0.3">
      <c r="A519">
        <v>1997</v>
      </c>
      <c r="B519" t="s">
        <v>948</v>
      </c>
      <c r="C519" t="s">
        <v>949</v>
      </c>
      <c r="D519" t="s">
        <v>16</v>
      </c>
      <c r="E519" t="s">
        <v>536</v>
      </c>
      <c r="F519">
        <v>4.07</v>
      </c>
      <c r="G519">
        <v>45382</v>
      </c>
      <c r="H519" t="s">
        <v>18</v>
      </c>
      <c r="I519">
        <v>634.41</v>
      </c>
      <c r="J519">
        <v>380.64600000000002</v>
      </c>
      <c r="K519">
        <v>3.99</v>
      </c>
      <c r="L519">
        <v>572</v>
      </c>
      <c r="M519" t="s">
        <v>30</v>
      </c>
      <c r="N519">
        <v>4293</v>
      </c>
    </row>
    <row r="520" spans="1:14" x14ac:dyDescent="0.3">
      <c r="A520">
        <v>2005</v>
      </c>
      <c r="B520" t="s">
        <v>950</v>
      </c>
      <c r="C520" t="s">
        <v>90</v>
      </c>
      <c r="D520" t="s">
        <v>22</v>
      </c>
      <c r="E520" t="s">
        <v>536</v>
      </c>
      <c r="F520">
        <v>4.17</v>
      </c>
      <c r="G520">
        <v>95950</v>
      </c>
      <c r="H520" t="s">
        <v>18</v>
      </c>
      <c r="I520">
        <v>314.42</v>
      </c>
      <c r="J520">
        <v>188.65199999999999</v>
      </c>
      <c r="K520">
        <v>1.99</v>
      </c>
      <c r="L520">
        <v>574</v>
      </c>
      <c r="M520" t="s">
        <v>65</v>
      </c>
      <c r="N520">
        <v>4266</v>
      </c>
    </row>
    <row r="521" spans="1:14" x14ac:dyDescent="0.3">
      <c r="A521">
        <v>2008</v>
      </c>
      <c r="B521" t="s">
        <v>951</v>
      </c>
      <c r="C521" t="s">
        <v>952</v>
      </c>
      <c r="D521" t="s">
        <v>22</v>
      </c>
      <c r="E521" t="s">
        <v>23</v>
      </c>
      <c r="F521">
        <v>3.96</v>
      </c>
      <c r="G521">
        <v>99638</v>
      </c>
      <c r="H521" t="s">
        <v>18</v>
      </c>
      <c r="I521">
        <v>1136.02</v>
      </c>
      <c r="J521">
        <v>681.61199999999997</v>
      </c>
      <c r="K521">
        <v>7.19</v>
      </c>
      <c r="L521">
        <v>575</v>
      </c>
      <c r="M521" t="s">
        <v>26</v>
      </c>
      <c r="N521">
        <v>4266</v>
      </c>
    </row>
    <row r="522" spans="1:14" x14ac:dyDescent="0.3">
      <c r="A522">
        <v>1998</v>
      </c>
      <c r="B522" t="s">
        <v>953</v>
      </c>
      <c r="C522" t="s">
        <v>954</v>
      </c>
      <c r="D522" t="s">
        <v>22</v>
      </c>
      <c r="E522" t="s">
        <v>23</v>
      </c>
      <c r="F522">
        <v>3.88</v>
      </c>
      <c r="G522">
        <v>84367</v>
      </c>
      <c r="H522" t="s">
        <v>18</v>
      </c>
      <c r="I522">
        <v>472.42</v>
      </c>
      <c r="J522">
        <v>283.452</v>
      </c>
      <c r="K522">
        <v>2.99</v>
      </c>
      <c r="L522">
        <v>576</v>
      </c>
      <c r="M522" t="s">
        <v>26</v>
      </c>
      <c r="N522">
        <v>4266</v>
      </c>
    </row>
    <row r="523" spans="1:14" x14ac:dyDescent="0.3">
      <c r="A523">
        <v>2009</v>
      </c>
      <c r="B523" t="s">
        <v>955</v>
      </c>
      <c r="C523" t="s">
        <v>194</v>
      </c>
      <c r="D523" t="s">
        <v>22</v>
      </c>
      <c r="E523" t="s">
        <v>23</v>
      </c>
      <c r="F523">
        <v>3.96</v>
      </c>
      <c r="G523">
        <v>90138</v>
      </c>
      <c r="H523" t="s">
        <v>29</v>
      </c>
      <c r="I523">
        <v>1420.42</v>
      </c>
      <c r="J523">
        <v>852.25199999999995</v>
      </c>
      <c r="K523">
        <v>8.99</v>
      </c>
      <c r="L523">
        <v>577</v>
      </c>
      <c r="M523" t="s">
        <v>19</v>
      </c>
      <c r="N523">
        <v>4266</v>
      </c>
    </row>
    <row r="524" spans="1:14" x14ac:dyDescent="0.3">
      <c r="A524">
        <v>2004</v>
      </c>
      <c r="B524" t="s">
        <v>956</v>
      </c>
      <c r="C524" t="s">
        <v>957</v>
      </c>
      <c r="D524" t="s">
        <v>22</v>
      </c>
      <c r="E524" t="s">
        <v>23</v>
      </c>
      <c r="F524">
        <v>3.98</v>
      </c>
      <c r="G524">
        <v>84957</v>
      </c>
      <c r="H524" t="s">
        <v>18</v>
      </c>
      <c r="I524">
        <v>469.43</v>
      </c>
      <c r="J524">
        <v>0</v>
      </c>
      <c r="K524">
        <v>2.99</v>
      </c>
      <c r="L524">
        <v>578</v>
      </c>
      <c r="M524" t="s">
        <v>26</v>
      </c>
      <c r="N524">
        <v>4239</v>
      </c>
    </row>
    <row r="525" spans="1:14" x14ac:dyDescent="0.3">
      <c r="A525">
        <v>2012</v>
      </c>
      <c r="B525" t="s">
        <v>958</v>
      </c>
      <c r="C525" t="s">
        <v>263</v>
      </c>
      <c r="D525" t="s">
        <v>22</v>
      </c>
      <c r="E525" t="s">
        <v>23</v>
      </c>
      <c r="F525">
        <v>3.56</v>
      </c>
      <c r="G525">
        <v>109290</v>
      </c>
      <c r="H525" t="s">
        <v>18</v>
      </c>
      <c r="I525">
        <v>155.43</v>
      </c>
      <c r="J525">
        <v>0</v>
      </c>
      <c r="K525">
        <v>0.99</v>
      </c>
      <c r="L525">
        <v>580</v>
      </c>
      <c r="M525" t="s">
        <v>26</v>
      </c>
      <c r="N525">
        <v>4239</v>
      </c>
    </row>
    <row r="526" spans="1:14" x14ac:dyDescent="0.3">
      <c r="A526">
        <v>1981</v>
      </c>
      <c r="B526" t="s">
        <v>959</v>
      </c>
      <c r="C526" t="s">
        <v>960</v>
      </c>
      <c r="D526" t="s">
        <v>22</v>
      </c>
      <c r="E526" t="s">
        <v>23</v>
      </c>
      <c r="F526">
        <v>3.99</v>
      </c>
      <c r="G526">
        <v>75502</v>
      </c>
      <c r="H526" t="s">
        <v>40</v>
      </c>
      <c r="I526">
        <v>1474.23</v>
      </c>
      <c r="J526">
        <v>884.53800000000001</v>
      </c>
      <c r="K526">
        <v>9.39</v>
      </c>
      <c r="L526">
        <v>581</v>
      </c>
      <c r="M526" t="s">
        <v>26</v>
      </c>
      <c r="N526">
        <v>4239</v>
      </c>
    </row>
    <row r="527" spans="1:14" x14ac:dyDescent="0.3">
      <c r="A527">
        <v>2004</v>
      </c>
      <c r="B527" t="s">
        <v>961</v>
      </c>
      <c r="C527" t="s">
        <v>962</v>
      </c>
      <c r="D527" t="s">
        <v>22</v>
      </c>
      <c r="E527" t="s">
        <v>23</v>
      </c>
      <c r="F527">
        <v>3.86</v>
      </c>
      <c r="G527">
        <v>82535</v>
      </c>
      <c r="H527" t="s">
        <v>18</v>
      </c>
      <c r="I527">
        <v>154.44</v>
      </c>
      <c r="J527">
        <v>0</v>
      </c>
      <c r="K527">
        <v>0.99</v>
      </c>
      <c r="L527">
        <v>585</v>
      </c>
      <c r="M527" t="s">
        <v>26</v>
      </c>
      <c r="N527">
        <v>4212</v>
      </c>
    </row>
    <row r="528" spans="1:14" x14ac:dyDescent="0.3">
      <c r="A528">
        <v>1999</v>
      </c>
      <c r="B528" t="s">
        <v>963</v>
      </c>
      <c r="C528" t="s">
        <v>158</v>
      </c>
      <c r="D528" t="s">
        <v>22</v>
      </c>
      <c r="E528" t="s">
        <v>23</v>
      </c>
      <c r="F528">
        <v>3.83</v>
      </c>
      <c r="G528">
        <v>80377</v>
      </c>
      <c r="H528" t="s">
        <v>40</v>
      </c>
      <c r="I528">
        <v>778.44</v>
      </c>
      <c r="J528">
        <v>467.06400000000002</v>
      </c>
      <c r="K528">
        <v>4.99</v>
      </c>
      <c r="L528">
        <v>585</v>
      </c>
      <c r="M528" t="s">
        <v>45</v>
      </c>
      <c r="N528">
        <v>4212</v>
      </c>
    </row>
    <row r="529" spans="1:14" x14ac:dyDescent="0.3">
      <c r="A529">
        <v>1930</v>
      </c>
      <c r="B529" t="s">
        <v>964</v>
      </c>
      <c r="C529" t="s">
        <v>293</v>
      </c>
      <c r="D529" t="s">
        <v>22</v>
      </c>
      <c r="E529" t="s">
        <v>536</v>
      </c>
      <c r="F529">
        <v>4.03</v>
      </c>
      <c r="G529">
        <v>93963</v>
      </c>
      <c r="H529" t="s">
        <v>40</v>
      </c>
      <c r="I529">
        <v>669.24</v>
      </c>
      <c r="J529">
        <v>401.54399999999998</v>
      </c>
      <c r="K529">
        <v>4.29</v>
      </c>
      <c r="L529">
        <v>586</v>
      </c>
      <c r="M529" t="s">
        <v>379</v>
      </c>
      <c r="N529">
        <v>4212</v>
      </c>
    </row>
    <row r="530" spans="1:14" x14ac:dyDescent="0.3">
      <c r="A530">
        <v>1998</v>
      </c>
      <c r="B530" t="s">
        <v>965</v>
      </c>
      <c r="C530" t="s">
        <v>966</v>
      </c>
      <c r="D530" t="s">
        <v>22</v>
      </c>
      <c r="E530" t="s">
        <v>23</v>
      </c>
      <c r="F530">
        <v>3.97</v>
      </c>
      <c r="G530">
        <v>94478</v>
      </c>
      <c r="H530" t="s">
        <v>18</v>
      </c>
      <c r="I530">
        <v>2106.4499999999998</v>
      </c>
      <c r="J530">
        <v>1263.8699999999999</v>
      </c>
      <c r="K530">
        <v>13.59</v>
      </c>
      <c r="L530">
        <v>589</v>
      </c>
      <c r="M530" t="s">
        <v>19</v>
      </c>
      <c r="N530">
        <v>4185</v>
      </c>
    </row>
    <row r="531" spans="1:14" x14ac:dyDescent="0.3">
      <c r="A531">
        <v>2007</v>
      </c>
      <c r="B531" t="s">
        <v>967</v>
      </c>
      <c r="C531" t="s">
        <v>67</v>
      </c>
      <c r="D531" t="s">
        <v>16</v>
      </c>
      <c r="E531" t="s">
        <v>536</v>
      </c>
      <c r="F531">
        <v>4.07</v>
      </c>
      <c r="G531">
        <v>80434</v>
      </c>
      <c r="H531" t="s">
        <v>18</v>
      </c>
      <c r="I531">
        <v>618.45000000000005</v>
      </c>
      <c r="J531">
        <v>0</v>
      </c>
      <c r="K531">
        <v>3.99</v>
      </c>
      <c r="L531">
        <v>589</v>
      </c>
      <c r="M531" t="s">
        <v>26</v>
      </c>
      <c r="N531">
        <v>4185</v>
      </c>
    </row>
    <row r="532" spans="1:14" x14ac:dyDescent="0.3">
      <c r="A532">
        <v>1958</v>
      </c>
      <c r="B532" t="s">
        <v>968</v>
      </c>
      <c r="C532" t="s">
        <v>969</v>
      </c>
      <c r="D532" t="s">
        <v>16</v>
      </c>
      <c r="E532" t="s">
        <v>23</v>
      </c>
      <c r="F532">
        <v>3.97</v>
      </c>
      <c r="G532">
        <v>105770</v>
      </c>
      <c r="H532" t="s">
        <v>40</v>
      </c>
      <c r="I532">
        <v>1230.46</v>
      </c>
      <c r="J532">
        <v>738.27599999999995</v>
      </c>
      <c r="K532">
        <v>7.99</v>
      </c>
      <c r="L532">
        <v>591</v>
      </c>
      <c r="M532" t="s">
        <v>33</v>
      </c>
      <c r="N532">
        <v>4158</v>
      </c>
    </row>
    <row r="533" spans="1:14" x14ac:dyDescent="0.3">
      <c r="A533">
        <v>2015</v>
      </c>
      <c r="B533" t="s">
        <v>970</v>
      </c>
      <c r="C533" t="s">
        <v>971</v>
      </c>
      <c r="D533" t="s">
        <v>22</v>
      </c>
      <c r="E533" t="s">
        <v>23</v>
      </c>
      <c r="F533">
        <v>3.85</v>
      </c>
      <c r="G533">
        <v>111044</v>
      </c>
      <c r="H533" t="s">
        <v>18</v>
      </c>
      <c r="I533">
        <v>614.46</v>
      </c>
      <c r="J533">
        <v>0</v>
      </c>
      <c r="K533">
        <v>3.99</v>
      </c>
      <c r="L533">
        <v>592</v>
      </c>
      <c r="M533" t="s">
        <v>26</v>
      </c>
      <c r="N533">
        <v>4158</v>
      </c>
    </row>
    <row r="534" spans="1:14" x14ac:dyDescent="0.3">
      <c r="A534">
        <v>2002</v>
      </c>
      <c r="B534" t="s">
        <v>972</v>
      </c>
      <c r="C534" t="s">
        <v>226</v>
      </c>
      <c r="D534" t="s">
        <v>22</v>
      </c>
      <c r="E534" t="s">
        <v>23</v>
      </c>
      <c r="F534">
        <v>3.77</v>
      </c>
      <c r="G534">
        <v>88139</v>
      </c>
      <c r="H534" t="s">
        <v>18</v>
      </c>
      <c r="I534">
        <v>460.46</v>
      </c>
      <c r="J534">
        <v>0</v>
      </c>
      <c r="K534">
        <v>2.99</v>
      </c>
      <c r="L534">
        <v>594</v>
      </c>
      <c r="M534" t="s">
        <v>26</v>
      </c>
      <c r="N534">
        <v>4158</v>
      </c>
    </row>
    <row r="535" spans="1:14" x14ac:dyDescent="0.3">
      <c r="A535">
        <v>1859</v>
      </c>
      <c r="B535" t="s">
        <v>973</v>
      </c>
      <c r="C535" t="s">
        <v>974</v>
      </c>
      <c r="D535" t="s">
        <v>22</v>
      </c>
      <c r="E535" t="s">
        <v>23</v>
      </c>
      <c r="F535">
        <v>3.98</v>
      </c>
      <c r="G535">
        <v>93134</v>
      </c>
      <c r="H535" t="s">
        <v>18</v>
      </c>
      <c r="I535">
        <v>768.46</v>
      </c>
      <c r="J535">
        <v>0</v>
      </c>
      <c r="K535">
        <v>4.99</v>
      </c>
      <c r="L535">
        <v>594</v>
      </c>
      <c r="M535" t="s">
        <v>26</v>
      </c>
      <c r="N535">
        <v>4158</v>
      </c>
    </row>
    <row r="536" spans="1:14" x14ac:dyDescent="0.3">
      <c r="A536">
        <v>2015</v>
      </c>
      <c r="B536" t="s">
        <v>975</v>
      </c>
      <c r="C536" t="s">
        <v>330</v>
      </c>
      <c r="D536" t="s">
        <v>22</v>
      </c>
      <c r="E536" t="s">
        <v>536</v>
      </c>
      <c r="F536">
        <v>4.21</v>
      </c>
      <c r="G536">
        <v>66979</v>
      </c>
      <c r="H536" t="s">
        <v>18</v>
      </c>
      <c r="I536">
        <v>1167.32</v>
      </c>
      <c r="J536">
        <v>700.39200000000005</v>
      </c>
      <c r="K536">
        <v>7.58</v>
      </c>
      <c r="L536">
        <v>595</v>
      </c>
      <c r="M536" t="s">
        <v>33</v>
      </c>
      <c r="N536">
        <v>4158</v>
      </c>
    </row>
    <row r="537" spans="1:14" x14ac:dyDescent="0.3">
      <c r="A537">
        <v>2009</v>
      </c>
      <c r="B537" t="s">
        <v>976</v>
      </c>
      <c r="C537" t="s">
        <v>568</v>
      </c>
      <c r="D537" t="s">
        <v>16</v>
      </c>
      <c r="E537" t="s">
        <v>23</v>
      </c>
      <c r="F537">
        <v>3.96</v>
      </c>
      <c r="G537">
        <v>104730</v>
      </c>
      <c r="H537" t="s">
        <v>18</v>
      </c>
      <c r="I537">
        <v>610.47</v>
      </c>
      <c r="J537">
        <v>0</v>
      </c>
      <c r="K537">
        <v>3.99</v>
      </c>
      <c r="L537">
        <v>596</v>
      </c>
      <c r="M537" t="s">
        <v>26</v>
      </c>
      <c r="N537">
        <v>4131</v>
      </c>
    </row>
    <row r="538" spans="1:14" x14ac:dyDescent="0.3">
      <c r="A538">
        <v>1998</v>
      </c>
      <c r="B538" t="s">
        <v>977</v>
      </c>
      <c r="C538" t="s">
        <v>719</v>
      </c>
      <c r="D538" t="s">
        <v>16</v>
      </c>
      <c r="E538" t="s">
        <v>536</v>
      </c>
      <c r="F538">
        <v>4.17</v>
      </c>
      <c r="G538">
        <v>106871</v>
      </c>
      <c r="H538" t="s">
        <v>18</v>
      </c>
      <c r="I538">
        <v>151.47</v>
      </c>
      <c r="J538">
        <v>90.882000000000005</v>
      </c>
      <c r="K538">
        <v>0.99</v>
      </c>
      <c r="L538">
        <v>597</v>
      </c>
      <c r="M538" t="s">
        <v>26</v>
      </c>
      <c r="N538">
        <v>4131</v>
      </c>
    </row>
    <row r="539" spans="1:14" x14ac:dyDescent="0.3">
      <c r="A539">
        <v>1996</v>
      </c>
      <c r="B539" t="s">
        <v>978</v>
      </c>
      <c r="C539" t="s">
        <v>979</v>
      </c>
      <c r="D539" t="s">
        <v>16</v>
      </c>
      <c r="E539" t="s">
        <v>536</v>
      </c>
      <c r="F539">
        <v>4.0599999999999996</v>
      </c>
      <c r="G539">
        <v>80906</v>
      </c>
      <c r="H539" t="s">
        <v>18</v>
      </c>
      <c r="I539">
        <v>151.47</v>
      </c>
      <c r="J539">
        <v>0</v>
      </c>
      <c r="K539">
        <v>0.99</v>
      </c>
      <c r="L539">
        <v>598</v>
      </c>
      <c r="M539" t="s">
        <v>26</v>
      </c>
      <c r="N539">
        <v>4131</v>
      </c>
    </row>
    <row r="540" spans="1:14" x14ac:dyDescent="0.3">
      <c r="A540">
        <v>2009</v>
      </c>
      <c r="B540" t="s">
        <v>980</v>
      </c>
      <c r="C540" t="s">
        <v>981</v>
      </c>
      <c r="D540" t="s">
        <v>16</v>
      </c>
      <c r="E540" t="s">
        <v>23</v>
      </c>
      <c r="F540">
        <v>3.95</v>
      </c>
      <c r="G540">
        <v>85006</v>
      </c>
      <c r="H540" t="s">
        <v>18</v>
      </c>
      <c r="I540">
        <v>1176.57</v>
      </c>
      <c r="J540">
        <v>705.94200000000001</v>
      </c>
      <c r="K540">
        <v>7.69</v>
      </c>
      <c r="L540">
        <v>600</v>
      </c>
      <c r="M540" t="s">
        <v>33</v>
      </c>
      <c r="N540">
        <v>4131</v>
      </c>
    </row>
    <row r="541" spans="1:14" x14ac:dyDescent="0.3">
      <c r="A541">
        <v>2006</v>
      </c>
      <c r="B541" t="s">
        <v>982</v>
      </c>
      <c r="C541" t="s">
        <v>983</v>
      </c>
      <c r="D541" t="s">
        <v>22</v>
      </c>
      <c r="E541" t="s">
        <v>536</v>
      </c>
      <c r="F541">
        <v>4.1399999999999997</v>
      </c>
      <c r="G541">
        <v>110812</v>
      </c>
      <c r="H541" t="s">
        <v>18</v>
      </c>
      <c r="I541">
        <v>1618.8</v>
      </c>
      <c r="J541">
        <v>971.28</v>
      </c>
      <c r="K541">
        <v>10.65</v>
      </c>
      <c r="L541">
        <v>601</v>
      </c>
      <c r="M541" t="s">
        <v>33</v>
      </c>
      <c r="N541">
        <v>4104</v>
      </c>
    </row>
    <row r="542" spans="1:14" x14ac:dyDescent="0.3">
      <c r="A542">
        <v>1995</v>
      </c>
      <c r="B542" t="s">
        <v>984</v>
      </c>
      <c r="C542" t="s">
        <v>985</v>
      </c>
      <c r="D542" t="s">
        <v>16</v>
      </c>
      <c r="E542" t="s">
        <v>536</v>
      </c>
      <c r="F542">
        <v>4.0999999999999996</v>
      </c>
      <c r="G542">
        <v>83235</v>
      </c>
      <c r="H542" t="s">
        <v>18</v>
      </c>
      <c r="I542">
        <v>1111.1199999999999</v>
      </c>
      <c r="J542">
        <v>666.67200000000003</v>
      </c>
      <c r="K542">
        <v>7.31</v>
      </c>
      <c r="L542">
        <v>603</v>
      </c>
      <c r="M542" t="s">
        <v>33</v>
      </c>
      <c r="N542">
        <v>4104</v>
      </c>
    </row>
    <row r="543" spans="1:14" x14ac:dyDescent="0.3">
      <c r="A543">
        <v>2010</v>
      </c>
      <c r="B543" t="s">
        <v>986</v>
      </c>
      <c r="C543" t="s">
        <v>248</v>
      </c>
      <c r="D543" t="s">
        <v>16</v>
      </c>
      <c r="E543" t="s">
        <v>23</v>
      </c>
      <c r="F543">
        <v>3.73</v>
      </c>
      <c r="G543">
        <v>83461</v>
      </c>
      <c r="H543" t="s">
        <v>18</v>
      </c>
      <c r="I543">
        <v>910.48</v>
      </c>
      <c r="J543">
        <v>546.28800000000001</v>
      </c>
      <c r="K543">
        <v>5.99</v>
      </c>
      <c r="L543">
        <v>603</v>
      </c>
      <c r="M543" t="s">
        <v>65</v>
      </c>
      <c r="N543">
        <v>4104</v>
      </c>
    </row>
    <row r="544" spans="1:14" x14ac:dyDescent="0.3">
      <c r="A544">
        <v>1847</v>
      </c>
      <c r="B544" t="s">
        <v>987</v>
      </c>
      <c r="C544" t="s">
        <v>988</v>
      </c>
      <c r="D544" t="s">
        <v>22</v>
      </c>
      <c r="E544" t="s">
        <v>23</v>
      </c>
      <c r="F544">
        <v>3.76</v>
      </c>
      <c r="G544">
        <v>91323</v>
      </c>
      <c r="H544" t="s">
        <v>18</v>
      </c>
      <c r="I544">
        <v>149.49</v>
      </c>
      <c r="J544">
        <v>0</v>
      </c>
      <c r="K544">
        <v>0.99</v>
      </c>
      <c r="L544">
        <v>605</v>
      </c>
      <c r="M544" t="s">
        <v>26</v>
      </c>
      <c r="N544">
        <v>4077</v>
      </c>
    </row>
    <row r="545" spans="1:14" x14ac:dyDescent="0.3">
      <c r="A545">
        <v>1959</v>
      </c>
      <c r="B545" t="s">
        <v>989</v>
      </c>
      <c r="C545" t="s">
        <v>990</v>
      </c>
      <c r="D545" t="s">
        <v>92</v>
      </c>
      <c r="E545" t="s">
        <v>536</v>
      </c>
      <c r="F545">
        <v>4.16</v>
      </c>
      <c r="G545">
        <v>72493</v>
      </c>
      <c r="H545" t="s">
        <v>18</v>
      </c>
      <c r="I545">
        <v>151</v>
      </c>
      <c r="J545">
        <v>90.6</v>
      </c>
      <c r="K545">
        <v>1</v>
      </c>
      <c r="L545">
        <v>607</v>
      </c>
      <c r="M545" t="s">
        <v>26</v>
      </c>
      <c r="N545">
        <v>4077</v>
      </c>
    </row>
    <row r="546" spans="1:14" x14ac:dyDescent="0.3">
      <c r="A546">
        <v>1992</v>
      </c>
      <c r="B546" t="s">
        <v>991</v>
      </c>
      <c r="C546" t="s">
        <v>992</v>
      </c>
      <c r="D546" t="s">
        <v>120</v>
      </c>
      <c r="E546" t="s">
        <v>23</v>
      </c>
      <c r="F546">
        <v>3.81</v>
      </c>
      <c r="G546">
        <v>71053</v>
      </c>
      <c r="H546" t="s">
        <v>18</v>
      </c>
      <c r="I546">
        <v>661.38</v>
      </c>
      <c r="J546">
        <v>396.82799999999997</v>
      </c>
      <c r="K546">
        <v>4.38</v>
      </c>
      <c r="L546">
        <v>608</v>
      </c>
      <c r="M546" t="s">
        <v>26</v>
      </c>
      <c r="N546">
        <v>4077</v>
      </c>
    </row>
    <row r="547" spans="1:14" x14ac:dyDescent="0.3">
      <c r="A547">
        <v>2016</v>
      </c>
      <c r="B547" t="s">
        <v>993</v>
      </c>
      <c r="C547" t="s">
        <v>994</v>
      </c>
      <c r="D547" t="s">
        <v>22</v>
      </c>
      <c r="E547" t="s">
        <v>17</v>
      </c>
      <c r="F547">
        <v>3.45</v>
      </c>
      <c r="G547">
        <v>79762</v>
      </c>
      <c r="H547" t="s">
        <v>40</v>
      </c>
      <c r="I547">
        <v>1508.49</v>
      </c>
      <c r="J547">
        <v>905.09400000000005</v>
      </c>
      <c r="K547">
        <v>9.99</v>
      </c>
      <c r="L547">
        <v>608</v>
      </c>
      <c r="M547" t="s">
        <v>26</v>
      </c>
      <c r="N547">
        <v>4077</v>
      </c>
    </row>
    <row r="548" spans="1:14" x14ac:dyDescent="0.3">
      <c r="A548">
        <v>2001</v>
      </c>
      <c r="B548" t="s">
        <v>995</v>
      </c>
      <c r="C548" t="s">
        <v>996</v>
      </c>
      <c r="D548" t="s">
        <v>22</v>
      </c>
      <c r="E548" t="s">
        <v>23</v>
      </c>
      <c r="F548">
        <v>3.99</v>
      </c>
      <c r="G548">
        <v>101016</v>
      </c>
      <c r="H548" t="s">
        <v>18</v>
      </c>
      <c r="I548">
        <v>1125</v>
      </c>
      <c r="J548">
        <v>675</v>
      </c>
      <c r="K548">
        <v>7.5</v>
      </c>
      <c r="L548">
        <v>610</v>
      </c>
      <c r="M548" t="s">
        <v>33</v>
      </c>
      <c r="N548">
        <v>4050</v>
      </c>
    </row>
    <row r="549" spans="1:14" x14ac:dyDescent="0.3">
      <c r="A549">
        <v>2001</v>
      </c>
      <c r="B549" t="s">
        <v>997</v>
      </c>
      <c r="C549" t="s">
        <v>998</v>
      </c>
      <c r="D549" t="s">
        <v>92</v>
      </c>
      <c r="E549" t="s">
        <v>23</v>
      </c>
      <c r="F549">
        <v>3.98</v>
      </c>
      <c r="G549">
        <v>75665</v>
      </c>
      <c r="H549" t="s">
        <v>18</v>
      </c>
      <c r="I549">
        <v>598.5</v>
      </c>
      <c r="J549">
        <v>0</v>
      </c>
      <c r="K549">
        <v>3.99</v>
      </c>
      <c r="L549">
        <v>611</v>
      </c>
      <c r="M549" t="s">
        <v>26</v>
      </c>
      <c r="N549">
        <v>4050</v>
      </c>
    </row>
    <row r="550" spans="1:14" x14ac:dyDescent="0.3">
      <c r="A550">
        <v>1993</v>
      </c>
      <c r="B550" t="s">
        <v>999</v>
      </c>
      <c r="C550" t="s">
        <v>1000</v>
      </c>
      <c r="D550" t="s">
        <v>16</v>
      </c>
      <c r="E550" t="s">
        <v>23</v>
      </c>
      <c r="F550">
        <v>3.6</v>
      </c>
      <c r="G550">
        <v>72675</v>
      </c>
      <c r="H550" t="s">
        <v>18</v>
      </c>
      <c r="I550">
        <v>594.51</v>
      </c>
      <c r="J550">
        <v>356.70600000000002</v>
      </c>
      <c r="K550">
        <v>3.99</v>
      </c>
      <c r="L550">
        <v>615</v>
      </c>
      <c r="M550" t="s">
        <v>33</v>
      </c>
      <c r="N550">
        <v>4023</v>
      </c>
    </row>
    <row r="551" spans="1:14" x14ac:dyDescent="0.3">
      <c r="A551">
        <v>2012</v>
      </c>
      <c r="B551" t="s">
        <v>1001</v>
      </c>
      <c r="C551" t="s">
        <v>1002</v>
      </c>
      <c r="D551" t="s">
        <v>22</v>
      </c>
      <c r="E551" t="s">
        <v>536</v>
      </c>
      <c r="F551">
        <v>4.0199999999999996</v>
      </c>
      <c r="G551">
        <v>102012</v>
      </c>
      <c r="H551" t="s">
        <v>18</v>
      </c>
      <c r="I551">
        <v>594.51</v>
      </c>
      <c r="J551">
        <v>356.70600000000002</v>
      </c>
      <c r="K551">
        <v>3.99</v>
      </c>
      <c r="L551">
        <v>615</v>
      </c>
      <c r="M551" t="s">
        <v>65</v>
      </c>
      <c r="N551">
        <v>4023</v>
      </c>
    </row>
    <row r="552" spans="1:14" x14ac:dyDescent="0.3">
      <c r="A552">
        <v>2012</v>
      </c>
      <c r="B552" t="s">
        <v>1003</v>
      </c>
      <c r="C552" t="s">
        <v>239</v>
      </c>
      <c r="D552" t="s">
        <v>22</v>
      </c>
      <c r="E552" t="s">
        <v>536</v>
      </c>
      <c r="F552">
        <v>4.29</v>
      </c>
      <c r="G552">
        <v>71971</v>
      </c>
      <c r="H552" t="s">
        <v>40</v>
      </c>
      <c r="I552">
        <v>1488.51</v>
      </c>
      <c r="J552">
        <v>893.10599999999999</v>
      </c>
      <c r="K552">
        <v>9.99</v>
      </c>
      <c r="L552">
        <v>616</v>
      </c>
      <c r="M552" t="s">
        <v>379</v>
      </c>
      <c r="N552">
        <v>4023</v>
      </c>
    </row>
    <row r="553" spans="1:14" x14ac:dyDescent="0.3">
      <c r="A553">
        <v>2013</v>
      </c>
      <c r="B553" t="s">
        <v>1004</v>
      </c>
      <c r="C553" t="s">
        <v>1005</v>
      </c>
      <c r="D553" t="s">
        <v>22</v>
      </c>
      <c r="E553" t="s">
        <v>23</v>
      </c>
      <c r="F553">
        <v>3.82</v>
      </c>
      <c r="G553">
        <v>67873</v>
      </c>
      <c r="H553" t="s">
        <v>29</v>
      </c>
      <c r="I553">
        <v>594.51</v>
      </c>
      <c r="J553">
        <v>0</v>
      </c>
      <c r="K553">
        <v>3.99</v>
      </c>
      <c r="L553">
        <v>616</v>
      </c>
      <c r="M553" t="s">
        <v>26</v>
      </c>
      <c r="N553">
        <v>4023</v>
      </c>
    </row>
    <row r="554" spans="1:14" x14ac:dyDescent="0.3">
      <c r="A554">
        <v>1999</v>
      </c>
      <c r="B554" t="s">
        <v>1006</v>
      </c>
      <c r="C554" t="s">
        <v>1007</v>
      </c>
      <c r="D554" t="s">
        <v>22</v>
      </c>
      <c r="E554" t="s">
        <v>23</v>
      </c>
      <c r="F554">
        <v>3.77</v>
      </c>
      <c r="G554">
        <v>77462</v>
      </c>
      <c r="H554" t="s">
        <v>612</v>
      </c>
      <c r="I554">
        <v>1427.42</v>
      </c>
      <c r="J554">
        <v>856.452</v>
      </c>
      <c r="K554">
        <v>9.58</v>
      </c>
      <c r="L554">
        <v>617</v>
      </c>
      <c r="M554" t="s">
        <v>26</v>
      </c>
      <c r="N554">
        <v>4023</v>
      </c>
    </row>
    <row r="555" spans="1:14" x14ac:dyDescent="0.3">
      <c r="A555">
        <v>1927</v>
      </c>
      <c r="B555" t="s">
        <v>1008</v>
      </c>
      <c r="C555" t="s">
        <v>1009</v>
      </c>
      <c r="D555" t="s">
        <v>22</v>
      </c>
      <c r="E555" t="s">
        <v>23</v>
      </c>
      <c r="F555">
        <v>3.76</v>
      </c>
      <c r="G555">
        <v>83066</v>
      </c>
      <c r="H555" t="s">
        <v>18</v>
      </c>
      <c r="I555">
        <v>1144.04</v>
      </c>
      <c r="J555">
        <v>686.42399999999998</v>
      </c>
      <c r="K555">
        <v>7.73</v>
      </c>
      <c r="L555">
        <v>619</v>
      </c>
      <c r="M555" t="s">
        <v>133</v>
      </c>
      <c r="N555">
        <v>3996</v>
      </c>
    </row>
    <row r="556" spans="1:14" x14ac:dyDescent="0.3">
      <c r="A556">
        <v>2004</v>
      </c>
      <c r="B556" t="s">
        <v>1010</v>
      </c>
      <c r="C556" t="s">
        <v>1011</v>
      </c>
      <c r="D556" t="s">
        <v>92</v>
      </c>
      <c r="E556" t="s">
        <v>17</v>
      </c>
      <c r="F556">
        <v>3.43</v>
      </c>
      <c r="G556">
        <v>67438</v>
      </c>
      <c r="H556" t="s">
        <v>18</v>
      </c>
      <c r="I556">
        <v>146.52000000000001</v>
      </c>
      <c r="J556">
        <v>0</v>
      </c>
      <c r="K556">
        <v>0.99</v>
      </c>
      <c r="L556">
        <v>620</v>
      </c>
      <c r="M556" t="s">
        <v>26</v>
      </c>
      <c r="N556">
        <v>3996</v>
      </c>
    </row>
    <row r="557" spans="1:14" x14ac:dyDescent="0.3">
      <c r="A557">
        <v>1993</v>
      </c>
      <c r="B557" t="s">
        <v>1012</v>
      </c>
      <c r="C557" t="s">
        <v>1013</v>
      </c>
      <c r="D557" t="s">
        <v>22</v>
      </c>
      <c r="E557" t="s">
        <v>536</v>
      </c>
      <c r="F557">
        <v>4.0199999999999996</v>
      </c>
      <c r="G557">
        <v>104252</v>
      </c>
      <c r="H557" t="s">
        <v>18</v>
      </c>
      <c r="I557">
        <v>442.52</v>
      </c>
      <c r="J557">
        <v>0</v>
      </c>
      <c r="K557">
        <v>2.99</v>
      </c>
      <c r="L557">
        <v>622</v>
      </c>
      <c r="M557" t="s">
        <v>26</v>
      </c>
      <c r="N557">
        <v>3996</v>
      </c>
    </row>
    <row r="558" spans="1:14" x14ac:dyDescent="0.3">
      <c r="A558">
        <v>2002</v>
      </c>
      <c r="B558" t="s">
        <v>1014</v>
      </c>
      <c r="C558" t="s">
        <v>1015</v>
      </c>
      <c r="D558" t="s">
        <v>16</v>
      </c>
      <c r="E558" t="s">
        <v>536</v>
      </c>
      <c r="F558">
        <v>4.09</v>
      </c>
      <c r="G558">
        <v>93119</v>
      </c>
      <c r="H558" t="s">
        <v>18</v>
      </c>
      <c r="I558">
        <v>145.53</v>
      </c>
      <c r="J558">
        <v>87.317999999999998</v>
      </c>
      <c r="K558">
        <v>0.99</v>
      </c>
      <c r="L558">
        <v>624</v>
      </c>
      <c r="M558" t="s">
        <v>26</v>
      </c>
      <c r="N558">
        <v>3969</v>
      </c>
    </row>
    <row r="559" spans="1:14" x14ac:dyDescent="0.3">
      <c r="A559">
        <v>1874</v>
      </c>
      <c r="B559" t="s">
        <v>1016</v>
      </c>
      <c r="C559" t="s">
        <v>1017</v>
      </c>
      <c r="D559" t="s">
        <v>22</v>
      </c>
      <c r="E559" t="s">
        <v>23</v>
      </c>
      <c r="F559">
        <v>3.92</v>
      </c>
      <c r="G559">
        <v>87427</v>
      </c>
      <c r="H559" t="s">
        <v>18</v>
      </c>
      <c r="I559">
        <v>1997.73</v>
      </c>
      <c r="J559">
        <v>1198.6379999999999</v>
      </c>
      <c r="K559">
        <v>13.59</v>
      </c>
      <c r="L559">
        <v>624</v>
      </c>
      <c r="M559" t="s">
        <v>19</v>
      </c>
      <c r="N559">
        <v>3969</v>
      </c>
    </row>
    <row r="560" spans="1:14" x14ac:dyDescent="0.3">
      <c r="A560">
        <v>1987</v>
      </c>
      <c r="B560" t="s">
        <v>1018</v>
      </c>
      <c r="C560" t="s">
        <v>438</v>
      </c>
      <c r="D560" t="s">
        <v>22</v>
      </c>
      <c r="E560" t="s">
        <v>23</v>
      </c>
      <c r="F560">
        <v>4</v>
      </c>
      <c r="G560">
        <v>88673</v>
      </c>
      <c r="H560" t="s">
        <v>18</v>
      </c>
      <c r="I560">
        <v>145.53</v>
      </c>
      <c r="J560">
        <v>0</v>
      </c>
      <c r="K560">
        <v>0.99</v>
      </c>
      <c r="L560">
        <v>625</v>
      </c>
      <c r="M560" t="s">
        <v>26</v>
      </c>
      <c r="N560">
        <v>3969</v>
      </c>
    </row>
    <row r="561" spans="1:14" x14ac:dyDescent="0.3">
      <c r="A561">
        <v>2000</v>
      </c>
      <c r="B561" t="s">
        <v>1019</v>
      </c>
      <c r="C561" t="s">
        <v>1020</v>
      </c>
      <c r="D561" t="s">
        <v>22</v>
      </c>
      <c r="E561" t="s">
        <v>536</v>
      </c>
      <c r="F561">
        <v>4.13</v>
      </c>
      <c r="G561">
        <v>75469</v>
      </c>
      <c r="H561" t="s">
        <v>18</v>
      </c>
      <c r="I561">
        <v>439.53</v>
      </c>
      <c r="J561">
        <v>0</v>
      </c>
      <c r="K561">
        <v>2.99</v>
      </c>
      <c r="L561">
        <v>625</v>
      </c>
      <c r="M561" t="s">
        <v>26</v>
      </c>
      <c r="N561">
        <v>3969</v>
      </c>
    </row>
    <row r="562" spans="1:14" x14ac:dyDescent="0.3">
      <c r="A562">
        <v>1993</v>
      </c>
      <c r="B562" t="s">
        <v>1021</v>
      </c>
      <c r="C562" t="s">
        <v>1022</v>
      </c>
      <c r="D562" t="s">
        <v>1023</v>
      </c>
      <c r="E562" t="s">
        <v>536</v>
      </c>
      <c r="F562">
        <v>4.1100000000000003</v>
      </c>
      <c r="G562">
        <v>83695</v>
      </c>
      <c r="H562" t="s">
        <v>18</v>
      </c>
      <c r="I562">
        <v>439.53</v>
      </c>
      <c r="J562">
        <v>263.71800000000002</v>
      </c>
      <c r="K562">
        <v>2.99</v>
      </c>
      <c r="L562">
        <v>626</v>
      </c>
      <c r="M562" t="s">
        <v>26</v>
      </c>
      <c r="N562">
        <v>3969</v>
      </c>
    </row>
    <row r="563" spans="1:14" x14ac:dyDescent="0.3">
      <c r="A563">
        <v>2013</v>
      </c>
      <c r="B563" t="s">
        <v>1024</v>
      </c>
      <c r="C563" t="s">
        <v>158</v>
      </c>
      <c r="D563" t="s">
        <v>22</v>
      </c>
      <c r="E563" t="s">
        <v>23</v>
      </c>
      <c r="F563">
        <v>3.98</v>
      </c>
      <c r="G563">
        <v>56315</v>
      </c>
      <c r="H563" t="s">
        <v>18</v>
      </c>
      <c r="I563">
        <v>1074.57</v>
      </c>
      <c r="J563">
        <v>644.74199999999996</v>
      </c>
      <c r="K563">
        <v>7.31</v>
      </c>
      <c r="L563">
        <v>627</v>
      </c>
      <c r="M563" t="s">
        <v>33</v>
      </c>
      <c r="N563">
        <v>3969</v>
      </c>
    </row>
    <row r="564" spans="1:14" x14ac:dyDescent="0.3">
      <c r="A564">
        <v>2011</v>
      </c>
      <c r="B564" t="s">
        <v>1025</v>
      </c>
      <c r="C564" t="s">
        <v>241</v>
      </c>
      <c r="D564" t="s">
        <v>16</v>
      </c>
      <c r="E564" t="s">
        <v>536</v>
      </c>
      <c r="F564">
        <v>4.0199999999999996</v>
      </c>
      <c r="G564">
        <v>101234</v>
      </c>
      <c r="H564" t="s">
        <v>18</v>
      </c>
      <c r="I564">
        <v>675.98</v>
      </c>
      <c r="J564">
        <v>405.58800000000002</v>
      </c>
      <c r="K564">
        <v>4.63</v>
      </c>
      <c r="L564">
        <v>628</v>
      </c>
      <c r="M564" t="s">
        <v>30</v>
      </c>
      <c r="N564">
        <v>3942</v>
      </c>
    </row>
    <row r="565" spans="1:14" x14ac:dyDescent="0.3">
      <c r="A565">
        <v>1918</v>
      </c>
      <c r="B565" t="s">
        <v>1026</v>
      </c>
      <c r="C565" t="s">
        <v>1027</v>
      </c>
      <c r="D565" t="s">
        <v>22</v>
      </c>
      <c r="E565" t="s">
        <v>23</v>
      </c>
      <c r="F565">
        <v>3.76</v>
      </c>
      <c r="G565">
        <v>81102</v>
      </c>
      <c r="H565" t="s">
        <v>18</v>
      </c>
      <c r="I565">
        <v>582.54</v>
      </c>
      <c r="J565">
        <v>0</v>
      </c>
      <c r="K565">
        <v>3.99</v>
      </c>
      <c r="L565">
        <v>629</v>
      </c>
      <c r="M565" t="s">
        <v>26</v>
      </c>
      <c r="N565">
        <v>3942</v>
      </c>
    </row>
    <row r="566" spans="1:14" x14ac:dyDescent="0.3">
      <c r="A566">
        <v>2006</v>
      </c>
      <c r="B566" t="s">
        <v>1028</v>
      </c>
      <c r="C566" t="s">
        <v>1029</v>
      </c>
      <c r="D566" t="s">
        <v>22</v>
      </c>
      <c r="E566" t="s">
        <v>23</v>
      </c>
      <c r="F566">
        <v>3.89</v>
      </c>
      <c r="G566">
        <v>94282</v>
      </c>
      <c r="H566" t="s">
        <v>40</v>
      </c>
      <c r="I566">
        <v>1097.92</v>
      </c>
      <c r="J566">
        <v>658.75199999999995</v>
      </c>
      <c r="K566">
        <v>7.52</v>
      </c>
      <c r="L566">
        <v>629</v>
      </c>
      <c r="M566" t="s">
        <v>26</v>
      </c>
      <c r="N566">
        <v>3942</v>
      </c>
    </row>
    <row r="567" spans="1:14" x14ac:dyDescent="0.3">
      <c r="A567">
        <v>2004</v>
      </c>
      <c r="B567" t="s">
        <v>1030</v>
      </c>
      <c r="C567" t="s">
        <v>1031</v>
      </c>
      <c r="D567" t="s">
        <v>22</v>
      </c>
      <c r="E567" t="s">
        <v>536</v>
      </c>
      <c r="F567">
        <v>4.0199999999999996</v>
      </c>
      <c r="G567">
        <v>74511</v>
      </c>
      <c r="H567" t="s">
        <v>40</v>
      </c>
      <c r="I567">
        <v>1166.54</v>
      </c>
      <c r="J567">
        <v>699.92399999999998</v>
      </c>
      <c r="K567">
        <v>7.99</v>
      </c>
      <c r="L567">
        <v>630</v>
      </c>
      <c r="M567" t="s">
        <v>45</v>
      </c>
      <c r="N567">
        <v>3942</v>
      </c>
    </row>
    <row r="568" spans="1:14" x14ac:dyDescent="0.3">
      <c r="A568">
        <v>2004</v>
      </c>
      <c r="B568" t="s">
        <v>1032</v>
      </c>
      <c r="C568" t="s">
        <v>1033</v>
      </c>
      <c r="D568" t="s">
        <v>22</v>
      </c>
      <c r="E568" t="s">
        <v>23</v>
      </c>
      <c r="F568">
        <v>3.91</v>
      </c>
      <c r="G568">
        <v>67937</v>
      </c>
      <c r="H568" t="s">
        <v>18</v>
      </c>
      <c r="I568">
        <v>1251.22</v>
      </c>
      <c r="J568">
        <v>750.73199999999997</v>
      </c>
      <c r="K568">
        <v>8.57</v>
      </c>
      <c r="L568">
        <v>631</v>
      </c>
      <c r="M568" t="s">
        <v>26</v>
      </c>
      <c r="N568">
        <v>3942</v>
      </c>
    </row>
    <row r="569" spans="1:14" x14ac:dyDescent="0.3">
      <c r="A569">
        <v>2012</v>
      </c>
      <c r="B569" t="s">
        <v>1034</v>
      </c>
      <c r="C569" t="s">
        <v>71</v>
      </c>
      <c r="D569" t="s">
        <v>22</v>
      </c>
      <c r="E569" t="s">
        <v>536</v>
      </c>
      <c r="F569">
        <v>4.1399999999999997</v>
      </c>
      <c r="G569">
        <v>71276</v>
      </c>
      <c r="H569" t="s">
        <v>18</v>
      </c>
      <c r="I569">
        <v>144.54</v>
      </c>
      <c r="J569">
        <v>0</v>
      </c>
      <c r="K569">
        <v>0.99</v>
      </c>
      <c r="L569">
        <v>631</v>
      </c>
      <c r="M569" t="s">
        <v>26</v>
      </c>
      <c r="N569">
        <v>3942</v>
      </c>
    </row>
    <row r="570" spans="1:14" x14ac:dyDescent="0.3">
      <c r="A570">
        <v>-300</v>
      </c>
      <c r="B570" t="s">
        <v>1035</v>
      </c>
      <c r="C570" t="s">
        <v>1036</v>
      </c>
      <c r="D570" t="s">
        <v>22</v>
      </c>
      <c r="E570" t="s">
        <v>536</v>
      </c>
      <c r="F570">
        <v>4.3099999999999996</v>
      </c>
      <c r="G570">
        <v>39863</v>
      </c>
      <c r="H570" t="s">
        <v>18</v>
      </c>
      <c r="I570">
        <v>665.55</v>
      </c>
      <c r="J570">
        <v>399.33</v>
      </c>
      <c r="K570">
        <v>4.59</v>
      </c>
      <c r="L570">
        <v>632</v>
      </c>
      <c r="M570" t="s">
        <v>33</v>
      </c>
      <c r="N570">
        <v>3915</v>
      </c>
    </row>
    <row r="571" spans="1:14" x14ac:dyDescent="0.3">
      <c r="A571">
        <v>1979</v>
      </c>
      <c r="B571" t="s">
        <v>1037</v>
      </c>
      <c r="C571" t="s">
        <v>1038</v>
      </c>
      <c r="D571" t="s">
        <v>16</v>
      </c>
      <c r="E571" t="s">
        <v>536</v>
      </c>
      <c r="F571">
        <v>4.2699999999999996</v>
      </c>
      <c r="G571">
        <v>74052</v>
      </c>
      <c r="H571" t="s">
        <v>29</v>
      </c>
      <c r="I571">
        <v>723.55</v>
      </c>
      <c r="J571">
        <v>0</v>
      </c>
      <c r="K571">
        <v>4.99</v>
      </c>
      <c r="L571">
        <v>632</v>
      </c>
      <c r="M571" t="s">
        <v>26</v>
      </c>
      <c r="N571">
        <v>3915</v>
      </c>
    </row>
    <row r="572" spans="1:14" x14ac:dyDescent="0.3">
      <c r="A572">
        <v>2008</v>
      </c>
      <c r="B572" t="s">
        <v>1039</v>
      </c>
      <c r="C572" t="s">
        <v>194</v>
      </c>
      <c r="D572" t="s">
        <v>16</v>
      </c>
      <c r="E572" t="s">
        <v>23</v>
      </c>
      <c r="F572">
        <v>3.91</v>
      </c>
      <c r="G572">
        <v>86471</v>
      </c>
      <c r="H572" t="s">
        <v>18</v>
      </c>
      <c r="I572">
        <v>990.35</v>
      </c>
      <c r="J572">
        <v>594.21</v>
      </c>
      <c r="K572">
        <v>6.83</v>
      </c>
      <c r="L572">
        <v>634</v>
      </c>
      <c r="M572" t="s">
        <v>65</v>
      </c>
      <c r="N572">
        <v>3915</v>
      </c>
    </row>
    <row r="573" spans="1:14" x14ac:dyDescent="0.3">
      <c r="A573">
        <v>2003</v>
      </c>
      <c r="B573" t="s">
        <v>1040</v>
      </c>
      <c r="C573" t="s">
        <v>1041</v>
      </c>
      <c r="D573" t="s">
        <v>22</v>
      </c>
      <c r="E573" t="s">
        <v>536</v>
      </c>
      <c r="F573">
        <v>4.01</v>
      </c>
      <c r="G573">
        <v>70550</v>
      </c>
      <c r="H573" t="s">
        <v>612</v>
      </c>
      <c r="I573">
        <v>1448.55</v>
      </c>
      <c r="J573">
        <v>869.13</v>
      </c>
      <c r="K573">
        <v>9.99</v>
      </c>
      <c r="L573">
        <v>635</v>
      </c>
      <c r="M573" t="s">
        <v>26</v>
      </c>
      <c r="N573">
        <v>3915</v>
      </c>
    </row>
    <row r="574" spans="1:14" x14ac:dyDescent="0.3">
      <c r="A574">
        <v>2001</v>
      </c>
      <c r="B574" t="s">
        <v>1042</v>
      </c>
      <c r="C574" t="s">
        <v>102</v>
      </c>
      <c r="D574" t="s">
        <v>92</v>
      </c>
      <c r="E574" t="s">
        <v>536</v>
      </c>
      <c r="F574">
        <v>4.1500000000000004</v>
      </c>
      <c r="G574">
        <v>77538</v>
      </c>
      <c r="H574" t="s">
        <v>18</v>
      </c>
      <c r="I574">
        <v>868.55</v>
      </c>
      <c r="J574">
        <v>521.13</v>
      </c>
      <c r="K574">
        <v>5.99</v>
      </c>
      <c r="L574">
        <v>636</v>
      </c>
      <c r="M574" t="s">
        <v>30</v>
      </c>
      <c r="N574">
        <v>3915</v>
      </c>
    </row>
    <row r="575" spans="1:14" x14ac:dyDescent="0.3">
      <c r="A575">
        <v>2015</v>
      </c>
      <c r="B575" t="s">
        <v>1043</v>
      </c>
      <c r="C575" t="s">
        <v>596</v>
      </c>
      <c r="D575" t="s">
        <v>92</v>
      </c>
      <c r="E575" t="s">
        <v>23</v>
      </c>
      <c r="F575">
        <v>3.76</v>
      </c>
      <c r="G575">
        <v>75320</v>
      </c>
      <c r="H575" t="s">
        <v>18</v>
      </c>
      <c r="I575">
        <v>1134.72</v>
      </c>
      <c r="J575">
        <v>680.83199999999999</v>
      </c>
      <c r="K575">
        <v>7.88</v>
      </c>
      <c r="L575">
        <v>637</v>
      </c>
      <c r="M575" t="s">
        <v>30</v>
      </c>
      <c r="N575">
        <v>3888</v>
      </c>
    </row>
    <row r="576" spans="1:14" x14ac:dyDescent="0.3">
      <c r="A576">
        <v>1969</v>
      </c>
      <c r="B576" t="s">
        <v>1044</v>
      </c>
      <c r="C576" t="s">
        <v>1045</v>
      </c>
      <c r="D576" t="s">
        <v>22</v>
      </c>
      <c r="E576" t="s">
        <v>23</v>
      </c>
      <c r="F576">
        <v>3.86</v>
      </c>
      <c r="G576">
        <v>82580</v>
      </c>
      <c r="H576" t="s">
        <v>18</v>
      </c>
      <c r="I576">
        <v>570.57000000000005</v>
      </c>
      <c r="J576">
        <v>0</v>
      </c>
      <c r="K576">
        <v>3.99</v>
      </c>
      <c r="L576">
        <v>641</v>
      </c>
      <c r="M576" t="s">
        <v>26</v>
      </c>
      <c r="N576">
        <v>3861</v>
      </c>
    </row>
    <row r="577" spans="1:14" x14ac:dyDescent="0.3">
      <c r="A577">
        <v>1945</v>
      </c>
      <c r="B577" t="s">
        <v>1046</v>
      </c>
      <c r="C577" t="s">
        <v>49</v>
      </c>
      <c r="D577" t="s">
        <v>16</v>
      </c>
      <c r="E577" t="s">
        <v>536</v>
      </c>
      <c r="F577">
        <v>4.28</v>
      </c>
      <c r="G577">
        <v>75031</v>
      </c>
      <c r="H577" t="s">
        <v>29</v>
      </c>
      <c r="I577">
        <v>1428.57</v>
      </c>
      <c r="J577">
        <v>857.14200000000005</v>
      </c>
      <c r="K577">
        <v>9.99</v>
      </c>
      <c r="L577">
        <v>642</v>
      </c>
      <c r="M577" t="s">
        <v>33</v>
      </c>
      <c r="N577">
        <v>3861</v>
      </c>
    </row>
    <row r="578" spans="1:14" x14ac:dyDescent="0.3">
      <c r="A578">
        <v>2004</v>
      </c>
      <c r="B578" t="s">
        <v>1047</v>
      </c>
      <c r="C578" t="s">
        <v>1048</v>
      </c>
      <c r="D578" t="s">
        <v>22</v>
      </c>
      <c r="E578" t="s">
        <v>23</v>
      </c>
      <c r="F578">
        <v>3.76</v>
      </c>
      <c r="G578">
        <v>77592</v>
      </c>
      <c r="H578" t="s">
        <v>40</v>
      </c>
      <c r="I578">
        <v>1072.5</v>
      </c>
      <c r="J578">
        <v>643.5</v>
      </c>
      <c r="K578">
        <v>7.5</v>
      </c>
      <c r="L578">
        <v>645</v>
      </c>
      <c r="M578" t="s">
        <v>45</v>
      </c>
      <c r="N578">
        <v>3861</v>
      </c>
    </row>
    <row r="579" spans="1:14" x14ac:dyDescent="0.3">
      <c r="A579">
        <v>1835</v>
      </c>
      <c r="B579" t="s">
        <v>1049</v>
      </c>
      <c r="C579" t="s">
        <v>1050</v>
      </c>
      <c r="D579" t="s">
        <v>22</v>
      </c>
      <c r="E579" t="s">
        <v>536</v>
      </c>
      <c r="F579">
        <v>4.28</v>
      </c>
      <c r="G579">
        <v>90999</v>
      </c>
      <c r="H579" t="s">
        <v>18</v>
      </c>
      <c r="I579">
        <v>708.58</v>
      </c>
      <c r="J579">
        <v>0</v>
      </c>
      <c r="K579">
        <v>4.99</v>
      </c>
      <c r="L579">
        <v>646</v>
      </c>
      <c r="M579" t="s">
        <v>26</v>
      </c>
      <c r="N579">
        <v>3834</v>
      </c>
    </row>
    <row r="580" spans="1:14" x14ac:dyDescent="0.3">
      <c r="A580">
        <v>2009</v>
      </c>
      <c r="B580" t="s">
        <v>1051</v>
      </c>
      <c r="C580" t="s">
        <v>230</v>
      </c>
      <c r="D580" t="s">
        <v>16</v>
      </c>
      <c r="E580" t="s">
        <v>536</v>
      </c>
      <c r="F580">
        <v>4.34</v>
      </c>
      <c r="G580">
        <v>82399</v>
      </c>
      <c r="H580" t="s">
        <v>18</v>
      </c>
      <c r="I580">
        <v>1560.58</v>
      </c>
      <c r="J580">
        <v>936.34799999999996</v>
      </c>
      <c r="K580">
        <v>10.99</v>
      </c>
      <c r="L580">
        <v>647</v>
      </c>
      <c r="M580" t="s">
        <v>33</v>
      </c>
      <c r="N580">
        <v>61560</v>
      </c>
    </row>
    <row r="581" spans="1:14" x14ac:dyDescent="0.3">
      <c r="A581">
        <v>2014</v>
      </c>
      <c r="B581" t="s">
        <v>1052</v>
      </c>
      <c r="C581" t="s">
        <v>42</v>
      </c>
      <c r="D581" t="s">
        <v>22</v>
      </c>
      <c r="E581" t="s">
        <v>536</v>
      </c>
      <c r="F581">
        <v>4.33</v>
      </c>
      <c r="G581">
        <v>81707</v>
      </c>
      <c r="H581" t="s">
        <v>18</v>
      </c>
      <c r="I581">
        <v>969.86</v>
      </c>
      <c r="J581">
        <v>581.91600000000005</v>
      </c>
      <c r="K581">
        <v>6.83</v>
      </c>
      <c r="L581">
        <v>649</v>
      </c>
      <c r="M581" t="s">
        <v>45</v>
      </c>
      <c r="N581">
        <v>61128</v>
      </c>
    </row>
    <row r="582" spans="1:14" x14ac:dyDescent="0.3">
      <c r="A582">
        <v>1999</v>
      </c>
      <c r="B582" t="s">
        <v>1053</v>
      </c>
      <c r="C582" t="s">
        <v>476</v>
      </c>
      <c r="D582" t="s">
        <v>22</v>
      </c>
      <c r="E582" t="s">
        <v>17</v>
      </c>
      <c r="F582">
        <v>3.41</v>
      </c>
      <c r="G582">
        <v>78132</v>
      </c>
      <c r="H582" t="s">
        <v>18</v>
      </c>
      <c r="I582">
        <v>562.59</v>
      </c>
      <c r="J582">
        <v>0</v>
      </c>
      <c r="K582">
        <v>3.99</v>
      </c>
      <c r="L582">
        <v>651</v>
      </c>
      <c r="M582" t="s">
        <v>26</v>
      </c>
      <c r="N582">
        <v>61128</v>
      </c>
    </row>
    <row r="583" spans="1:14" x14ac:dyDescent="0.3">
      <c r="A583">
        <v>1915</v>
      </c>
      <c r="B583" t="s">
        <v>1054</v>
      </c>
      <c r="C583" t="s">
        <v>800</v>
      </c>
      <c r="D583" t="s">
        <v>22</v>
      </c>
      <c r="E583" t="s">
        <v>536</v>
      </c>
      <c r="F583">
        <v>4.21</v>
      </c>
      <c r="G583">
        <v>97049</v>
      </c>
      <c r="H583" t="s">
        <v>18</v>
      </c>
      <c r="I583">
        <v>139.59</v>
      </c>
      <c r="J583">
        <v>83.754000000000005</v>
      </c>
      <c r="K583">
        <v>0.99</v>
      </c>
      <c r="L583">
        <v>652</v>
      </c>
      <c r="M583" t="s">
        <v>45</v>
      </c>
      <c r="N583">
        <v>60696</v>
      </c>
    </row>
    <row r="584" spans="1:14" x14ac:dyDescent="0.3">
      <c r="A584">
        <v>1883</v>
      </c>
      <c r="B584" t="s">
        <v>1055</v>
      </c>
      <c r="C584" t="s">
        <v>1056</v>
      </c>
      <c r="D584" t="s">
        <v>22</v>
      </c>
      <c r="E584" t="s">
        <v>536</v>
      </c>
      <c r="F584">
        <v>4.05</v>
      </c>
      <c r="G584">
        <v>65362</v>
      </c>
      <c r="H584" t="s">
        <v>18</v>
      </c>
      <c r="I584">
        <v>1030.71</v>
      </c>
      <c r="J584">
        <v>618.42600000000004</v>
      </c>
      <c r="K584">
        <v>7.31</v>
      </c>
      <c r="L584">
        <v>652</v>
      </c>
      <c r="M584" t="s">
        <v>33</v>
      </c>
      <c r="N584">
        <v>59400</v>
      </c>
    </row>
    <row r="585" spans="1:14" x14ac:dyDescent="0.3">
      <c r="A585">
        <v>1854</v>
      </c>
      <c r="B585" t="s">
        <v>1057</v>
      </c>
      <c r="C585" t="s">
        <v>1058</v>
      </c>
      <c r="D585" t="s">
        <v>22</v>
      </c>
      <c r="E585" t="s">
        <v>536</v>
      </c>
      <c r="F585">
        <v>4.13</v>
      </c>
      <c r="G585">
        <v>95274</v>
      </c>
      <c r="H585" t="s">
        <v>18</v>
      </c>
      <c r="I585">
        <v>562.59</v>
      </c>
      <c r="J585">
        <v>0</v>
      </c>
      <c r="K585">
        <v>3.99</v>
      </c>
      <c r="L585">
        <v>653</v>
      </c>
      <c r="M585" t="s">
        <v>26</v>
      </c>
      <c r="N585">
        <v>58968</v>
      </c>
    </row>
    <row r="586" spans="1:14" x14ac:dyDescent="0.3">
      <c r="A586">
        <v>2011</v>
      </c>
      <c r="B586" t="s">
        <v>1059</v>
      </c>
      <c r="C586" t="s">
        <v>1060</v>
      </c>
      <c r="D586" t="s">
        <v>16</v>
      </c>
      <c r="E586" t="s">
        <v>23</v>
      </c>
      <c r="F586">
        <v>3.89</v>
      </c>
      <c r="G586">
        <v>72713</v>
      </c>
      <c r="H586" t="s">
        <v>29</v>
      </c>
      <c r="I586">
        <v>558.6</v>
      </c>
      <c r="J586">
        <v>0</v>
      </c>
      <c r="K586">
        <v>3.99</v>
      </c>
      <c r="L586">
        <v>655</v>
      </c>
      <c r="M586" t="s">
        <v>26</v>
      </c>
      <c r="N586">
        <v>57240</v>
      </c>
    </row>
    <row r="587" spans="1:14" x14ac:dyDescent="0.3">
      <c r="A587">
        <v>2010</v>
      </c>
      <c r="B587" t="s">
        <v>1061</v>
      </c>
      <c r="C587" t="s">
        <v>1062</v>
      </c>
      <c r="D587" t="s">
        <v>22</v>
      </c>
      <c r="E587" t="s">
        <v>23</v>
      </c>
      <c r="F587">
        <v>4</v>
      </c>
      <c r="G587">
        <v>62784</v>
      </c>
      <c r="H587" t="s">
        <v>18</v>
      </c>
      <c r="I587">
        <v>418.6</v>
      </c>
      <c r="J587">
        <v>251.16</v>
      </c>
      <c r="K587">
        <v>2.99</v>
      </c>
      <c r="L587">
        <v>658</v>
      </c>
      <c r="M587" t="s">
        <v>26</v>
      </c>
      <c r="N587">
        <v>56808</v>
      </c>
    </row>
    <row r="588" spans="1:14" x14ac:dyDescent="0.3">
      <c r="A588">
        <v>1995</v>
      </c>
      <c r="B588" t="s">
        <v>1063</v>
      </c>
      <c r="C588" t="s">
        <v>113</v>
      </c>
      <c r="D588" t="s">
        <v>22</v>
      </c>
      <c r="E588" t="s">
        <v>23</v>
      </c>
      <c r="F588">
        <v>3.72</v>
      </c>
      <c r="G588">
        <v>83389</v>
      </c>
      <c r="H588" t="s">
        <v>18</v>
      </c>
      <c r="I588">
        <v>1398.6</v>
      </c>
      <c r="J588">
        <v>839.16</v>
      </c>
      <c r="K588">
        <v>9.99</v>
      </c>
      <c r="L588">
        <v>658</v>
      </c>
      <c r="M588" t="s">
        <v>26</v>
      </c>
      <c r="N588">
        <v>55728</v>
      </c>
    </row>
    <row r="589" spans="1:14" x14ac:dyDescent="0.3">
      <c r="A589">
        <v>2013</v>
      </c>
      <c r="B589" t="s">
        <v>1064</v>
      </c>
      <c r="C589" t="s">
        <v>1065</v>
      </c>
      <c r="D589" t="s">
        <v>22</v>
      </c>
      <c r="E589" t="s">
        <v>23</v>
      </c>
      <c r="F589">
        <v>3.74</v>
      </c>
      <c r="G589">
        <v>100593</v>
      </c>
      <c r="H589" t="s">
        <v>18</v>
      </c>
      <c r="I589">
        <v>698.6</v>
      </c>
      <c r="J589">
        <v>0</v>
      </c>
      <c r="K589">
        <v>4.99</v>
      </c>
      <c r="L589">
        <v>659</v>
      </c>
      <c r="M589" t="s">
        <v>26</v>
      </c>
      <c r="N589">
        <v>55080</v>
      </c>
    </row>
    <row r="590" spans="1:14" x14ac:dyDescent="0.3">
      <c r="A590">
        <v>1996</v>
      </c>
      <c r="B590" t="s">
        <v>1066</v>
      </c>
      <c r="C590" t="s">
        <v>378</v>
      </c>
      <c r="D590" t="s">
        <v>22</v>
      </c>
      <c r="E590" t="s">
        <v>23</v>
      </c>
      <c r="F590">
        <v>4</v>
      </c>
      <c r="G590">
        <v>86421</v>
      </c>
      <c r="H590" t="s">
        <v>40</v>
      </c>
      <c r="I590">
        <v>137.61000000000001</v>
      </c>
      <c r="J590">
        <v>0</v>
      </c>
      <c r="K590">
        <v>0.99</v>
      </c>
      <c r="L590">
        <v>661</v>
      </c>
      <c r="M590" t="s">
        <v>26</v>
      </c>
      <c r="N590">
        <v>54000</v>
      </c>
    </row>
    <row r="591" spans="1:14" x14ac:dyDescent="0.3">
      <c r="A591">
        <v>-560</v>
      </c>
      <c r="B591" t="s">
        <v>1067</v>
      </c>
      <c r="C591" t="s">
        <v>1068</v>
      </c>
      <c r="D591" t="s">
        <v>22</v>
      </c>
      <c r="E591" t="s">
        <v>536</v>
      </c>
      <c r="F591">
        <v>4.05</v>
      </c>
      <c r="G591">
        <v>88508</v>
      </c>
      <c r="H591" t="s">
        <v>18</v>
      </c>
      <c r="I591">
        <v>693.61</v>
      </c>
      <c r="J591">
        <v>0</v>
      </c>
      <c r="K591">
        <v>4.99</v>
      </c>
      <c r="L591">
        <v>663</v>
      </c>
      <c r="M591" t="s">
        <v>26</v>
      </c>
      <c r="N591">
        <v>53784</v>
      </c>
    </row>
    <row r="592" spans="1:14" x14ac:dyDescent="0.3">
      <c r="A592">
        <v>1985</v>
      </c>
      <c r="B592" t="s">
        <v>1069</v>
      </c>
      <c r="C592" t="s">
        <v>545</v>
      </c>
      <c r="D592" t="s">
        <v>22</v>
      </c>
      <c r="E592" t="s">
        <v>536</v>
      </c>
      <c r="F592">
        <v>4.18</v>
      </c>
      <c r="G592">
        <v>71095</v>
      </c>
      <c r="H592" t="s">
        <v>18</v>
      </c>
      <c r="I592">
        <v>725.88</v>
      </c>
      <c r="J592">
        <v>435.52800000000002</v>
      </c>
      <c r="K592">
        <v>5.26</v>
      </c>
      <c r="L592">
        <v>665</v>
      </c>
      <c r="M592" t="s">
        <v>33</v>
      </c>
      <c r="N592">
        <v>53784</v>
      </c>
    </row>
    <row r="593" spans="1:14" x14ac:dyDescent="0.3">
      <c r="A593">
        <v>2012</v>
      </c>
      <c r="B593" t="s">
        <v>1070</v>
      </c>
      <c r="C593" t="s">
        <v>130</v>
      </c>
      <c r="D593" t="s">
        <v>22</v>
      </c>
      <c r="E593" t="s">
        <v>536</v>
      </c>
      <c r="F593">
        <v>4.22</v>
      </c>
      <c r="G593">
        <v>107569</v>
      </c>
      <c r="H593" t="s">
        <v>18</v>
      </c>
      <c r="I593">
        <v>1516.62</v>
      </c>
      <c r="J593">
        <v>909.97199999999998</v>
      </c>
      <c r="K593">
        <v>10.99</v>
      </c>
      <c r="L593">
        <v>666</v>
      </c>
      <c r="M593" t="s">
        <v>33</v>
      </c>
      <c r="N593">
        <v>53784</v>
      </c>
    </row>
    <row r="594" spans="1:14" x14ac:dyDescent="0.3">
      <c r="A594">
        <v>1985</v>
      </c>
      <c r="B594" t="s">
        <v>1071</v>
      </c>
      <c r="C594" t="s">
        <v>73</v>
      </c>
      <c r="D594" t="s">
        <v>22</v>
      </c>
      <c r="E594" t="s">
        <v>23</v>
      </c>
      <c r="F594">
        <v>3.93</v>
      </c>
      <c r="G594">
        <v>82320</v>
      </c>
      <c r="H594" t="s">
        <v>18</v>
      </c>
      <c r="I594">
        <v>957.72</v>
      </c>
      <c r="J594">
        <v>574.63199999999995</v>
      </c>
      <c r="K594">
        <v>6.94</v>
      </c>
      <c r="L594">
        <v>668</v>
      </c>
      <c r="M594" t="s">
        <v>45</v>
      </c>
      <c r="N594">
        <v>53568</v>
      </c>
    </row>
    <row r="595" spans="1:14" x14ac:dyDescent="0.3">
      <c r="A595">
        <v>2002</v>
      </c>
      <c r="B595" t="s">
        <v>1072</v>
      </c>
      <c r="C595" t="s">
        <v>618</v>
      </c>
      <c r="D595" t="s">
        <v>22</v>
      </c>
      <c r="E595" t="s">
        <v>23</v>
      </c>
      <c r="F595">
        <v>3.73</v>
      </c>
      <c r="G595">
        <v>66713</v>
      </c>
      <c r="H595" t="s">
        <v>18</v>
      </c>
      <c r="I595">
        <v>1094.6300000000001</v>
      </c>
      <c r="J595">
        <v>656.77800000000002</v>
      </c>
      <c r="K595">
        <v>7.99</v>
      </c>
      <c r="L595">
        <v>671</v>
      </c>
      <c r="M595" t="s">
        <v>30</v>
      </c>
      <c r="N595">
        <v>53352</v>
      </c>
    </row>
    <row r="596" spans="1:14" x14ac:dyDescent="0.3">
      <c r="A596">
        <v>2009</v>
      </c>
      <c r="B596" t="s">
        <v>1073</v>
      </c>
      <c r="C596" t="s">
        <v>1011</v>
      </c>
      <c r="D596" t="s">
        <v>22</v>
      </c>
      <c r="E596" t="s">
        <v>23</v>
      </c>
      <c r="F596">
        <v>3.42</v>
      </c>
      <c r="G596">
        <v>67866</v>
      </c>
      <c r="H596" t="s">
        <v>18</v>
      </c>
      <c r="I596">
        <v>836.4</v>
      </c>
      <c r="J596">
        <v>501.84</v>
      </c>
      <c r="K596">
        <v>6.15</v>
      </c>
      <c r="L596">
        <v>675</v>
      </c>
      <c r="M596" t="s">
        <v>26</v>
      </c>
      <c r="N596">
        <v>53352</v>
      </c>
    </row>
    <row r="597" spans="1:14" x14ac:dyDescent="0.3">
      <c r="A597">
        <v>2005</v>
      </c>
      <c r="B597" t="s">
        <v>1074</v>
      </c>
      <c r="C597" t="s">
        <v>1075</v>
      </c>
      <c r="D597" t="s">
        <v>22</v>
      </c>
      <c r="E597" t="s">
        <v>536</v>
      </c>
      <c r="F597">
        <v>4.0999999999999996</v>
      </c>
      <c r="G597">
        <v>89733</v>
      </c>
      <c r="H597" t="s">
        <v>40</v>
      </c>
      <c r="I597">
        <v>1225.3599999999999</v>
      </c>
      <c r="J597">
        <v>0</v>
      </c>
      <c r="K597">
        <v>9.01</v>
      </c>
      <c r="L597">
        <v>675</v>
      </c>
      <c r="M597" t="s">
        <v>26</v>
      </c>
      <c r="N597">
        <v>53136</v>
      </c>
    </row>
    <row r="598" spans="1:14" x14ac:dyDescent="0.3">
      <c r="A598">
        <v>2002</v>
      </c>
      <c r="B598" t="s">
        <v>1076</v>
      </c>
      <c r="C598" t="s">
        <v>682</v>
      </c>
      <c r="D598" t="s">
        <v>22</v>
      </c>
      <c r="E598" t="s">
        <v>536</v>
      </c>
      <c r="F598">
        <v>4.3</v>
      </c>
      <c r="G598">
        <v>91012</v>
      </c>
      <c r="H598" t="s">
        <v>18</v>
      </c>
      <c r="I598">
        <v>542.64</v>
      </c>
      <c r="J598">
        <v>0</v>
      </c>
      <c r="K598">
        <v>3.99</v>
      </c>
      <c r="L598">
        <v>676</v>
      </c>
      <c r="M598" t="s">
        <v>26</v>
      </c>
      <c r="N598">
        <v>52920</v>
      </c>
    </row>
    <row r="599" spans="1:14" x14ac:dyDescent="0.3">
      <c r="A599">
        <v>1968</v>
      </c>
      <c r="B599" t="s">
        <v>1077</v>
      </c>
      <c r="C599" t="s">
        <v>1078</v>
      </c>
      <c r="D599" t="s">
        <v>22</v>
      </c>
      <c r="E599" t="s">
        <v>536</v>
      </c>
      <c r="F599">
        <v>4.0999999999999996</v>
      </c>
      <c r="G599">
        <v>95378</v>
      </c>
      <c r="H599" t="s">
        <v>18</v>
      </c>
      <c r="I599">
        <v>133.65</v>
      </c>
      <c r="J599">
        <v>0</v>
      </c>
      <c r="K599">
        <v>0.99</v>
      </c>
      <c r="L599">
        <v>679</v>
      </c>
      <c r="M599" t="s">
        <v>26</v>
      </c>
      <c r="N599">
        <v>52488</v>
      </c>
    </row>
    <row r="600" spans="1:14" x14ac:dyDescent="0.3">
      <c r="A600">
        <v>2007</v>
      </c>
      <c r="B600" t="s">
        <v>1079</v>
      </c>
      <c r="C600" t="s">
        <v>1080</v>
      </c>
      <c r="D600" t="s">
        <v>22</v>
      </c>
      <c r="E600" t="s">
        <v>23</v>
      </c>
      <c r="F600">
        <v>3.81</v>
      </c>
      <c r="G600">
        <v>108399</v>
      </c>
      <c r="H600" t="s">
        <v>18</v>
      </c>
      <c r="I600">
        <v>538.65</v>
      </c>
      <c r="J600">
        <v>0</v>
      </c>
      <c r="K600">
        <v>3.99</v>
      </c>
      <c r="L600">
        <v>680</v>
      </c>
      <c r="M600" t="s">
        <v>26</v>
      </c>
      <c r="N600">
        <v>52488</v>
      </c>
    </row>
    <row r="601" spans="1:14" x14ac:dyDescent="0.3">
      <c r="A601">
        <v>2014</v>
      </c>
      <c r="B601" t="s">
        <v>1081</v>
      </c>
      <c r="C601" t="s">
        <v>42</v>
      </c>
      <c r="D601" t="s">
        <v>22</v>
      </c>
      <c r="E601" t="s">
        <v>536</v>
      </c>
      <c r="F601">
        <v>4.3</v>
      </c>
      <c r="G601">
        <v>107583</v>
      </c>
      <c r="H601" t="s">
        <v>18</v>
      </c>
      <c r="I601">
        <v>808.65</v>
      </c>
      <c r="J601">
        <v>485.19</v>
      </c>
      <c r="K601">
        <v>5.99</v>
      </c>
      <c r="L601">
        <v>681</v>
      </c>
      <c r="M601" t="s">
        <v>45</v>
      </c>
      <c r="N601">
        <v>52488</v>
      </c>
    </row>
    <row r="602" spans="1:14" x14ac:dyDescent="0.3">
      <c r="A602">
        <v>1998</v>
      </c>
      <c r="B602" t="s">
        <v>1082</v>
      </c>
      <c r="C602" t="s">
        <v>1083</v>
      </c>
      <c r="D602" t="s">
        <v>22</v>
      </c>
      <c r="E602" t="s">
        <v>23</v>
      </c>
      <c r="F602">
        <v>3.95</v>
      </c>
      <c r="G602">
        <v>84770</v>
      </c>
      <c r="H602" t="s">
        <v>40</v>
      </c>
      <c r="I602">
        <v>873.68</v>
      </c>
      <c r="J602">
        <v>524.20799999999997</v>
      </c>
      <c r="K602">
        <v>6.52</v>
      </c>
      <c r="L602">
        <v>682</v>
      </c>
      <c r="M602" t="s">
        <v>26</v>
      </c>
      <c r="N602">
        <v>52056</v>
      </c>
    </row>
    <row r="603" spans="1:14" x14ac:dyDescent="0.3">
      <c r="A603">
        <v>1977</v>
      </c>
      <c r="B603" t="s">
        <v>1084</v>
      </c>
      <c r="C603" t="s">
        <v>1085</v>
      </c>
      <c r="D603" t="s">
        <v>22</v>
      </c>
      <c r="E603" t="s">
        <v>23</v>
      </c>
      <c r="F603">
        <v>3.82</v>
      </c>
      <c r="G603">
        <v>80959</v>
      </c>
      <c r="H603" t="s">
        <v>18</v>
      </c>
      <c r="I603">
        <v>1191.26</v>
      </c>
      <c r="J603">
        <v>714.75599999999997</v>
      </c>
      <c r="K603">
        <v>8.89</v>
      </c>
      <c r="L603">
        <v>684</v>
      </c>
      <c r="M603" t="s">
        <v>30</v>
      </c>
      <c r="N603">
        <v>52056</v>
      </c>
    </row>
    <row r="604" spans="1:14" x14ac:dyDescent="0.3">
      <c r="A604">
        <v>1992</v>
      </c>
      <c r="B604" t="s">
        <v>1086</v>
      </c>
      <c r="C604" t="s">
        <v>1087</v>
      </c>
      <c r="D604" t="s">
        <v>22</v>
      </c>
      <c r="E604" t="s">
        <v>23</v>
      </c>
      <c r="F604">
        <v>3.88</v>
      </c>
      <c r="G604">
        <v>83741</v>
      </c>
      <c r="H604" t="s">
        <v>18</v>
      </c>
      <c r="I604">
        <v>663.67</v>
      </c>
      <c r="J604">
        <v>0</v>
      </c>
      <c r="K604">
        <v>4.99</v>
      </c>
      <c r="L604">
        <v>688</v>
      </c>
      <c r="M604" t="s">
        <v>26</v>
      </c>
      <c r="N604">
        <v>51840</v>
      </c>
    </row>
    <row r="605" spans="1:14" x14ac:dyDescent="0.3">
      <c r="A605">
        <v>2012</v>
      </c>
      <c r="B605" t="s">
        <v>1088</v>
      </c>
      <c r="C605" t="s">
        <v>706</v>
      </c>
      <c r="D605" t="s">
        <v>22</v>
      </c>
      <c r="E605" t="s">
        <v>536</v>
      </c>
      <c r="F605">
        <v>4.22</v>
      </c>
      <c r="G605">
        <v>91213</v>
      </c>
      <c r="H605" t="s">
        <v>18</v>
      </c>
      <c r="I605">
        <v>530.66999999999996</v>
      </c>
      <c r="J605">
        <v>0</v>
      </c>
      <c r="K605">
        <v>3.99</v>
      </c>
      <c r="L605">
        <v>689</v>
      </c>
      <c r="M605" t="s">
        <v>26</v>
      </c>
      <c r="N605">
        <v>51624</v>
      </c>
    </row>
    <row r="606" spans="1:14" x14ac:dyDescent="0.3">
      <c r="A606">
        <v>1914</v>
      </c>
      <c r="B606" t="s">
        <v>1089</v>
      </c>
      <c r="C606" t="s">
        <v>1090</v>
      </c>
      <c r="D606" t="s">
        <v>22</v>
      </c>
      <c r="E606" t="s">
        <v>23</v>
      </c>
      <c r="F606">
        <v>3.85</v>
      </c>
      <c r="G606">
        <v>73140</v>
      </c>
      <c r="H606" t="s">
        <v>29</v>
      </c>
      <c r="I606">
        <v>397.67</v>
      </c>
      <c r="J606">
        <v>238.602</v>
      </c>
      <c r="K606">
        <v>2.99</v>
      </c>
      <c r="L606">
        <v>690</v>
      </c>
      <c r="M606" t="s">
        <v>45</v>
      </c>
      <c r="N606">
        <v>51408</v>
      </c>
    </row>
    <row r="607" spans="1:14" x14ac:dyDescent="0.3">
      <c r="A607">
        <v>2009</v>
      </c>
      <c r="B607" t="s">
        <v>1091</v>
      </c>
      <c r="C607" t="s">
        <v>1092</v>
      </c>
      <c r="D607" t="s">
        <v>16</v>
      </c>
      <c r="E607" t="s">
        <v>23</v>
      </c>
      <c r="F607">
        <v>3.93</v>
      </c>
      <c r="G607">
        <v>71515</v>
      </c>
      <c r="H607" t="s">
        <v>18</v>
      </c>
      <c r="I607">
        <v>394.68</v>
      </c>
      <c r="J607">
        <v>0</v>
      </c>
      <c r="K607">
        <v>2.99</v>
      </c>
      <c r="L607">
        <v>692</v>
      </c>
      <c r="M607" t="s">
        <v>26</v>
      </c>
      <c r="N607">
        <v>51192</v>
      </c>
    </row>
    <row r="608" spans="1:14" x14ac:dyDescent="0.3">
      <c r="A608">
        <v>2003</v>
      </c>
      <c r="B608" t="s">
        <v>1093</v>
      </c>
      <c r="C608" t="s">
        <v>731</v>
      </c>
      <c r="D608" t="s">
        <v>22</v>
      </c>
      <c r="E608" t="s">
        <v>536</v>
      </c>
      <c r="F608">
        <v>4.04</v>
      </c>
      <c r="G608">
        <v>94437</v>
      </c>
      <c r="H608" t="s">
        <v>29</v>
      </c>
      <c r="I608">
        <v>394.68</v>
      </c>
      <c r="J608">
        <v>0</v>
      </c>
      <c r="K608">
        <v>2.99</v>
      </c>
      <c r="L608">
        <v>692</v>
      </c>
      <c r="M608" t="s">
        <v>26</v>
      </c>
      <c r="N608">
        <v>51192</v>
      </c>
    </row>
    <row r="609" spans="1:14" x14ac:dyDescent="0.3">
      <c r="A609">
        <v>2001</v>
      </c>
      <c r="B609" t="s">
        <v>1094</v>
      </c>
      <c r="C609" t="s">
        <v>1095</v>
      </c>
      <c r="D609" t="s">
        <v>22</v>
      </c>
      <c r="E609" t="s">
        <v>536</v>
      </c>
      <c r="F609">
        <v>4.1100000000000003</v>
      </c>
      <c r="G609">
        <v>78070</v>
      </c>
      <c r="H609" t="s">
        <v>18</v>
      </c>
      <c r="I609">
        <v>394.68</v>
      </c>
      <c r="J609">
        <v>236.80799999999999</v>
      </c>
      <c r="K609">
        <v>2.99</v>
      </c>
      <c r="L609">
        <v>693</v>
      </c>
      <c r="M609" t="s">
        <v>26</v>
      </c>
      <c r="N609">
        <v>50976</v>
      </c>
    </row>
    <row r="610" spans="1:14" x14ac:dyDescent="0.3">
      <c r="A610">
        <v>1987</v>
      </c>
      <c r="B610" t="s">
        <v>1096</v>
      </c>
      <c r="C610" t="s">
        <v>73</v>
      </c>
      <c r="D610" t="s">
        <v>22</v>
      </c>
      <c r="E610" t="s">
        <v>52</v>
      </c>
      <c r="F610">
        <v>3.48</v>
      </c>
      <c r="G610">
        <v>89262</v>
      </c>
      <c r="H610" t="s">
        <v>18</v>
      </c>
      <c r="I610">
        <v>790.68</v>
      </c>
      <c r="J610">
        <v>0</v>
      </c>
      <c r="K610">
        <v>5.99</v>
      </c>
      <c r="L610">
        <v>693</v>
      </c>
      <c r="M610" t="s">
        <v>26</v>
      </c>
      <c r="N610">
        <v>50760</v>
      </c>
    </row>
    <row r="611" spans="1:14" x14ac:dyDescent="0.3">
      <c r="A611">
        <v>2010</v>
      </c>
      <c r="B611" t="s">
        <v>1097</v>
      </c>
      <c r="C611" t="s">
        <v>1098</v>
      </c>
      <c r="D611" t="s">
        <v>22</v>
      </c>
      <c r="E611" t="s">
        <v>23</v>
      </c>
      <c r="F611">
        <v>3.96</v>
      </c>
      <c r="G611">
        <v>109881</v>
      </c>
      <c r="H611" t="s">
        <v>29</v>
      </c>
      <c r="I611">
        <v>526.67999999999995</v>
      </c>
      <c r="J611">
        <v>0</v>
      </c>
      <c r="K611">
        <v>3.99</v>
      </c>
      <c r="L611">
        <v>693</v>
      </c>
      <c r="M611" t="s">
        <v>26</v>
      </c>
      <c r="N611">
        <v>50544</v>
      </c>
    </row>
    <row r="612" spans="1:14" x14ac:dyDescent="0.3">
      <c r="A612">
        <v>2010</v>
      </c>
      <c r="B612" t="s">
        <v>1099</v>
      </c>
      <c r="C612" t="s">
        <v>1100</v>
      </c>
      <c r="D612" t="s">
        <v>16</v>
      </c>
      <c r="E612" t="s">
        <v>23</v>
      </c>
      <c r="F612">
        <v>3.86</v>
      </c>
      <c r="G612">
        <v>93625</v>
      </c>
      <c r="H612" t="s">
        <v>18</v>
      </c>
      <c r="I612">
        <v>130.68</v>
      </c>
      <c r="J612">
        <v>78.408000000000001</v>
      </c>
      <c r="K612">
        <v>0.99</v>
      </c>
      <c r="L612">
        <v>694</v>
      </c>
      <c r="M612" t="s">
        <v>26</v>
      </c>
      <c r="N612">
        <v>50328</v>
      </c>
    </row>
    <row r="613" spans="1:14" x14ac:dyDescent="0.3">
      <c r="A613">
        <v>1999</v>
      </c>
      <c r="B613" t="s">
        <v>1101</v>
      </c>
      <c r="C613" t="s">
        <v>1102</v>
      </c>
      <c r="D613" t="s">
        <v>22</v>
      </c>
      <c r="E613" t="s">
        <v>536</v>
      </c>
      <c r="F613">
        <v>4.25</v>
      </c>
      <c r="G613">
        <v>72683</v>
      </c>
      <c r="H613" t="s">
        <v>612</v>
      </c>
      <c r="I613">
        <v>327.36</v>
      </c>
      <c r="J613">
        <v>196.416</v>
      </c>
      <c r="K613">
        <v>2.48</v>
      </c>
      <c r="L613">
        <v>694</v>
      </c>
      <c r="M613" t="s">
        <v>45</v>
      </c>
      <c r="N613">
        <v>50112</v>
      </c>
    </row>
    <row r="614" spans="1:14" x14ac:dyDescent="0.3">
      <c r="A614">
        <v>2013</v>
      </c>
      <c r="B614" t="s">
        <v>1103</v>
      </c>
      <c r="C614" t="s">
        <v>1104</v>
      </c>
      <c r="D614" t="s">
        <v>22</v>
      </c>
      <c r="E614" t="s">
        <v>536</v>
      </c>
      <c r="F614">
        <v>4.05</v>
      </c>
      <c r="G614">
        <v>111668</v>
      </c>
      <c r="H614" t="s">
        <v>18</v>
      </c>
      <c r="I614">
        <v>394.68</v>
      </c>
      <c r="J614">
        <v>0</v>
      </c>
      <c r="K614">
        <v>2.99</v>
      </c>
      <c r="L614">
        <v>695</v>
      </c>
      <c r="M614" t="s">
        <v>26</v>
      </c>
      <c r="N614">
        <v>49896</v>
      </c>
    </row>
    <row r="615" spans="1:14" x14ac:dyDescent="0.3">
      <c r="A615">
        <v>2000</v>
      </c>
      <c r="B615" t="s">
        <v>1105</v>
      </c>
      <c r="C615" t="s">
        <v>629</v>
      </c>
      <c r="D615" t="s">
        <v>16</v>
      </c>
      <c r="E615" t="s">
        <v>23</v>
      </c>
      <c r="F615">
        <v>3.98</v>
      </c>
      <c r="G615">
        <v>78529</v>
      </c>
      <c r="H615" t="s">
        <v>18</v>
      </c>
      <c r="I615">
        <v>260.69</v>
      </c>
      <c r="J615">
        <v>156.41399999999999</v>
      </c>
      <c r="K615">
        <v>1.99</v>
      </c>
      <c r="L615">
        <v>696</v>
      </c>
      <c r="M615" t="s">
        <v>65</v>
      </c>
      <c r="N615">
        <v>49896</v>
      </c>
    </row>
    <row r="616" spans="1:14" x14ac:dyDescent="0.3">
      <c r="A616">
        <v>1996</v>
      </c>
      <c r="B616" t="s">
        <v>1106</v>
      </c>
      <c r="C616" t="s">
        <v>1107</v>
      </c>
      <c r="D616" t="s">
        <v>22</v>
      </c>
      <c r="E616" t="s">
        <v>23</v>
      </c>
      <c r="F616">
        <v>3.7</v>
      </c>
      <c r="G616">
        <v>77251</v>
      </c>
      <c r="H616" t="s">
        <v>18</v>
      </c>
      <c r="I616">
        <v>1395.15</v>
      </c>
      <c r="J616">
        <v>837.09</v>
      </c>
      <c r="K616">
        <v>10.65</v>
      </c>
      <c r="L616">
        <v>698</v>
      </c>
      <c r="M616" t="s">
        <v>30</v>
      </c>
      <c r="N616">
        <v>49680</v>
      </c>
    </row>
    <row r="617" spans="1:14" x14ac:dyDescent="0.3">
      <c r="A617">
        <v>1993</v>
      </c>
      <c r="B617" t="s">
        <v>1108</v>
      </c>
      <c r="C617" t="s">
        <v>1109</v>
      </c>
      <c r="D617" t="s">
        <v>16</v>
      </c>
      <c r="E617" t="s">
        <v>23</v>
      </c>
      <c r="F617">
        <v>3.98</v>
      </c>
      <c r="G617">
        <v>77277</v>
      </c>
      <c r="H617" t="s">
        <v>40</v>
      </c>
      <c r="I617">
        <v>129.69</v>
      </c>
      <c r="J617">
        <v>77.813999999999993</v>
      </c>
      <c r="K617">
        <v>0.99</v>
      </c>
      <c r="L617">
        <v>699</v>
      </c>
      <c r="M617" t="s">
        <v>26</v>
      </c>
      <c r="N617">
        <v>49680</v>
      </c>
    </row>
    <row r="618" spans="1:14" x14ac:dyDescent="0.3">
      <c r="A618">
        <v>2010</v>
      </c>
      <c r="B618" t="s">
        <v>1110</v>
      </c>
      <c r="C618" t="s">
        <v>1111</v>
      </c>
      <c r="D618" t="s">
        <v>16</v>
      </c>
      <c r="E618" t="s">
        <v>23</v>
      </c>
      <c r="F618">
        <v>3.84</v>
      </c>
      <c r="G618">
        <v>95447</v>
      </c>
      <c r="H618" t="s">
        <v>40</v>
      </c>
      <c r="I618">
        <v>260.69</v>
      </c>
      <c r="J618">
        <v>156.41399999999999</v>
      </c>
      <c r="K618">
        <v>1.99</v>
      </c>
      <c r="L618">
        <v>700</v>
      </c>
      <c r="M618" t="s">
        <v>19</v>
      </c>
      <c r="N618">
        <v>49248</v>
      </c>
    </row>
    <row r="619" spans="1:14" x14ac:dyDescent="0.3">
      <c r="A619">
        <v>2011</v>
      </c>
      <c r="B619" t="s">
        <v>1112</v>
      </c>
      <c r="C619" t="s">
        <v>1113</v>
      </c>
      <c r="D619" t="s">
        <v>22</v>
      </c>
      <c r="E619" t="s">
        <v>23</v>
      </c>
      <c r="F619">
        <v>3.91</v>
      </c>
      <c r="G619">
        <v>44097</v>
      </c>
      <c r="H619" t="s">
        <v>18</v>
      </c>
      <c r="I619">
        <v>492.7</v>
      </c>
      <c r="J619">
        <v>295.62</v>
      </c>
      <c r="K619">
        <v>3.79</v>
      </c>
      <c r="L619">
        <v>701</v>
      </c>
      <c r="M619" t="s">
        <v>133</v>
      </c>
      <c r="N619">
        <v>49032</v>
      </c>
    </row>
    <row r="620" spans="1:14" x14ac:dyDescent="0.3">
      <c r="A620">
        <v>2005</v>
      </c>
      <c r="B620" t="s">
        <v>1114</v>
      </c>
      <c r="C620" t="s">
        <v>194</v>
      </c>
      <c r="D620" t="s">
        <v>16</v>
      </c>
      <c r="E620" t="s">
        <v>23</v>
      </c>
      <c r="F620">
        <v>3.68</v>
      </c>
      <c r="G620">
        <v>79662</v>
      </c>
      <c r="H620" t="s">
        <v>18</v>
      </c>
      <c r="I620">
        <v>258.7</v>
      </c>
      <c r="J620">
        <v>155.22</v>
      </c>
      <c r="K620">
        <v>1.99</v>
      </c>
      <c r="L620">
        <v>703</v>
      </c>
      <c r="M620" t="s">
        <v>45</v>
      </c>
      <c r="N620">
        <v>48816</v>
      </c>
    </row>
    <row r="621" spans="1:14" x14ac:dyDescent="0.3">
      <c r="A621">
        <v>1995</v>
      </c>
      <c r="B621" t="s">
        <v>1115</v>
      </c>
      <c r="C621" t="s">
        <v>1116</v>
      </c>
      <c r="D621" t="s">
        <v>22</v>
      </c>
      <c r="E621" t="s">
        <v>536</v>
      </c>
      <c r="F621">
        <v>4.1500000000000004</v>
      </c>
      <c r="G621">
        <v>72481</v>
      </c>
      <c r="H621" t="s">
        <v>18</v>
      </c>
      <c r="I621">
        <v>1656.2</v>
      </c>
      <c r="J621">
        <v>993.72</v>
      </c>
      <c r="K621">
        <v>12.74</v>
      </c>
      <c r="L621">
        <v>704</v>
      </c>
      <c r="M621" t="s">
        <v>133</v>
      </c>
      <c r="N621">
        <v>48816</v>
      </c>
    </row>
    <row r="622" spans="1:14" x14ac:dyDescent="0.3">
      <c r="A622">
        <v>2000</v>
      </c>
      <c r="B622" t="s">
        <v>1117</v>
      </c>
      <c r="C622" t="s">
        <v>719</v>
      </c>
      <c r="D622" t="s">
        <v>22</v>
      </c>
      <c r="E622" t="s">
        <v>536</v>
      </c>
      <c r="F622">
        <v>4.18</v>
      </c>
      <c r="G622">
        <v>99329</v>
      </c>
      <c r="H622" t="s">
        <v>18</v>
      </c>
      <c r="I622">
        <v>514.71</v>
      </c>
      <c r="J622">
        <v>0</v>
      </c>
      <c r="K622">
        <v>3.99</v>
      </c>
      <c r="L622">
        <v>705</v>
      </c>
      <c r="M622" t="s">
        <v>26</v>
      </c>
      <c r="N622">
        <v>48600</v>
      </c>
    </row>
    <row r="623" spans="1:14" x14ac:dyDescent="0.3">
      <c r="A623">
        <v>2012</v>
      </c>
      <c r="B623" t="s">
        <v>1118</v>
      </c>
      <c r="C623" t="s">
        <v>489</v>
      </c>
      <c r="D623" t="s">
        <v>22</v>
      </c>
      <c r="E623" t="s">
        <v>23</v>
      </c>
      <c r="F623">
        <v>3.85</v>
      </c>
      <c r="G623">
        <v>72277</v>
      </c>
      <c r="H623" t="s">
        <v>18</v>
      </c>
      <c r="I623">
        <v>127.71</v>
      </c>
      <c r="J623">
        <v>0</v>
      </c>
      <c r="K623">
        <v>0.99</v>
      </c>
      <c r="L623">
        <v>707</v>
      </c>
      <c r="M623" t="s">
        <v>26</v>
      </c>
      <c r="N623">
        <v>48384</v>
      </c>
    </row>
    <row r="624" spans="1:14" x14ac:dyDescent="0.3">
      <c r="A624">
        <v>2006</v>
      </c>
      <c r="B624" t="s">
        <v>1119</v>
      </c>
      <c r="C624" t="s">
        <v>418</v>
      </c>
      <c r="D624" t="s">
        <v>16</v>
      </c>
      <c r="E624" t="s">
        <v>536</v>
      </c>
      <c r="F624">
        <v>4.08</v>
      </c>
      <c r="G624">
        <v>78523</v>
      </c>
      <c r="H624" t="s">
        <v>40</v>
      </c>
      <c r="I624">
        <v>127.71</v>
      </c>
      <c r="J624">
        <v>76.626000000000005</v>
      </c>
      <c r="K624">
        <v>0.99</v>
      </c>
      <c r="L624">
        <v>707</v>
      </c>
      <c r="M624" t="s">
        <v>26</v>
      </c>
      <c r="N624">
        <v>48168</v>
      </c>
    </row>
    <row r="625" spans="1:14" x14ac:dyDescent="0.3">
      <c r="A625">
        <v>2003</v>
      </c>
      <c r="B625" t="s">
        <v>1120</v>
      </c>
      <c r="C625" t="s">
        <v>847</v>
      </c>
      <c r="D625" t="s">
        <v>16</v>
      </c>
      <c r="E625" t="s">
        <v>536</v>
      </c>
      <c r="F625">
        <v>4.24</v>
      </c>
      <c r="G625">
        <v>66406</v>
      </c>
      <c r="H625" t="s">
        <v>18</v>
      </c>
      <c r="I625">
        <v>127.71</v>
      </c>
      <c r="J625">
        <v>0</v>
      </c>
      <c r="K625">
        <v>0.99</v>
      </c>
      <c r="L625">
        <v>708</v>
      </c>
      <c r="M625" t="s">
        <v>26</v>
      </c>
      <c r="N625">
        <v>47952</v>
      </c>
    </row>
    <row r="626" spans="1:14" x14ac:dyDescent="0.3">
      <c r="A626">
        <v>2003</v>
      </c>
      <c r="B626" t="s">
        <v>1121</v>
      </c>
      <c r="C626" t="s">
        <v>1122</v>
      </c>
      <c r="D626" t="s">
        <v>16</v>
      </c>
      <c r="E626" t="s">
        <v>23</v>
      </c>
      <c r="F626">
        <v>3.99</v>
      </c>
      <c r="G626">
        <v>86062</v>
      </c>
      <c r="H626" t="s">
        <v>18</v>
      </c>
      <c r="I626">
        <v>127.71</v>
      </c>
      <c r="J626">
        <v>0</v>
      </c>
      <c r="K626">
        <v>0.99</v>
      </c>
      <c r="L626">
        <v>709</v>
      </c>
      <c r="M626" t="s">
        <v>26</v>
      </c>
      <c r="N626">
        <v>47736</v>
      </c>
    </row>
    <row r="627" spans="1:14" x14ac:dyDescent="0.3">
      <c r="A627">
        <v>2007</v>
      </c>
      <c r="B627" t="s">
        <v>1123</v>
      </c>
      <c r="C627" t="s">
        <v>1124</v>
      </c>
      <c r="D627" t="s">
        <v>16</v>
      </c>
      <c r="E627" t="s">
        <v>23</v>
      </c>
      <c r="F627">
        <v>3.91</v>
      </c>
      <c r="G627">
        <v>71023</v>
      </c>
      <c r="H627" t="s">
        <v>18</v>
      </c>
      <c r="I627">
        <v>885.76</v>
      </c>
      <c r="J627">
        <v>531.45600000000002</v>
      </c>
      <c r="K627">
        <v>6.92</v>
      </c>
      <c r="L627">
        <v>710</v>
      </c>
      <c r="M627" t="s">
        <v>33</v>
      </c>
      <c r="N627">
        <v>47520</v>
      </c>
    </row>
    <row r="628" spans="1:14" x14ac:dyDescent="0.3">
      <c r="A628">
        <v>1981</v>
      </c>
      <c r="B628" t="s">
        <v>1125</v>
      </c>
      <c r="C628" t="s">
        <v>1126</v>
      </c>
      <c r="D628" t="s">
        <v>16</v>
      </c>
      <c r="E628" t="s">
        <v>23</v>
      </c>
      <c r="F628">
        <v>3.85</v>
      </c>
      <c r="G628">
        <v>70241</v>
      </c>
      <c r="H628" t="s">
        <v>612</v>
      </c>
      <c r="I628">
        <v>888.32</v>
      </c>
      <c r="J628">
        <v>532.99199999999996</v>
      </c>
      <c r="K628">
        <v>6.94</v>
      </c>
      <c r="L628">
        <v>710</v>
      </c>
      <c r="M628" t="s">
        <v>26</v>
      </c>
      <c r="N628">
        <v>47520</v>
      </c>
    </row>
    <row r="629" spans="1:14" x14ac:dyDescent="0.3">
      <c r="A629">
        <v>1958</v>
      </c>
      <c r="B629" t="s">
        <v>1127</v>
      </c>
      <c r="C629" t="s">
        <v>1128</v>
      </c>
      <c r="D629" t="s">
        <v>22</v>
      </c>
      <c r="E629" t="s">
        <v>536</v>
      </c>
      <c r="F629">
        <v>4.33</v>
      </c>
      <c r="G629">
        <v>77258</v>
      </c>
      <c r="H629" t="s">
        <v>18</v>
      </c>
      <c r="I629">
        <v>1470.72</v>
      </c>
      <c r="J629">
        <v>882.43200000000002</v>
      </c>
      <c r="K629">
        <v>11.49</v>
      </c>
      <c r="L629">
        <v>711</v>
      </c>
      <c r="M629" t="s">
        <v>45</v>
      </c>
      <c r="N629">
        <v>47304</v>
      </c>
    </row>
    <row r="630" spans="1:14" x14ac:dyDescent="0.3">
      <c r="A630">
        <v>1994</v>
      </c>
      <c r="B630" t="s">
        <v>1129</v>
      </c>
      <c r="C630" t="s">
        <v>1130</v>
      </c>
      <c r="D630" t="s">
        <v>92</v>
      </c>
      <c r="E630" t="s">
        <v>536</v>
      </c>
      <c r="F630">
        <v>4.07</v>
      </c>
      <c r="G630">
        <v>80056</v>
      </c>
      <c r="H630" t="s">
        <v>18</v>
      </c>
      <c r="I630">
        <v>787.2</v>
      </c>
      <c r="J630">
        <v>472.32</v>
      </c>
      <c r="K630">
        <v>6.15</v>
      </c>
      <c r="L630">
        <v>712</v>
      </c>
      <c r="M630" t="s">
        <v>26</v>
      </c>
      <c r="N630">
        <v>47304</v>
      </c>
    </row>
    <row r="631" spans="1:14" x14ac:dyDescent="0.3">
      <c r="A631">
        <v>1939</v>
      </c>
      <c r="B631" t="s">
        <v>1131</v>
      </c>
      <c r="C631" t="s">
        <v>1132</v>
      </c>
      <c r="D631" t="s">
        <v>22</v>
      </c>
      <c r="E631" t="s">
        <v>536</v>
      </c>
      <c r="F631">
        <v>4.04</v>
      </c>
      <c r="G631">
        <v>84489</v>
      </c>
      <c r="H631" t="s">
        <v>18</v>
      </c>
      <c r="I631">
        <v>126.72</v>
      </c>
      <c r="J631">
        <v>76.031999999999996</v>
      </c>
      <c r="K631">
        <v>0.99</v>
      </c>
      <c r="L631">
        <v>713</v>
      </c>
      <c r="M631" t="s">
        <v>26</v>
      </c>
      <c r="N631">
        <v>47088</v>
      </c>
    </row>
    <row r="632" spans="1:14" x14ac:dyDescent="0.3">
      <c r="A632">
        <v>1945</v>
      </c>
      <c r="B632" t="s">
        <v>1133</v>
      </c>
      <c r="C632" t="s">
        <v>394</v>
      </c>
      <c r="D632" t="s">
        <v>22</v>
      </c>
      <c r="E632" t="s">
        <v>536</v>
      </c>
      <c r="F632">
        <v>4.0199999999999996</v>
      </c>
      <c r="G632">
        <v>81598</v>
      </c>
      <c r="H632" t="s">
        <v>18</v>
      </c>
      <c r="I632">
        <v>1153.28</v>
      </c>
      <c r="J632">
        <v>691.96799999999996</v>
      </c>
      <c r="K632">
        <v>9.01</v>
      </c>
      <c r="L632">
        <v>713</v>
      </c>
      <c r="M632" t="s">
        <v>19</v>
      </c>
      <c r="N632">
        <v>47088</v>
      </c>
    </row>
    <row r="633" spans="1:14" x14ac:dyDescent="0.3">
      <c r="A633">
        <v>2011</v>
      </c>
      <c r="B633" t="s">
        <v>1134</v>
      </c>
      <c r="C633" t="s">
        <v>1135</v>
      </c>
      <c r="D633" t="s">
        <v>16</v>
      </c>
      <c r="E633" t="s">
        <v>23</v>
      </c>
      <c r="F633">
        <v>3.72</v>
      </c>
      <c r="G633">
        <v>74358</v>
      </c>
      <c r="H633" t="s">
        <v>18</v>
      </c>
      <c r="I633">
        <v>843.28</v>
      </c>
      <c r="J633">
        <v>505.96800000000002</v>
      </c>
      <c r="K633">
        <v>6.64</v>
      </c>
      <c r="L633">
        <v>714</v>
      </c>
      <c r="M633" t="s">
        <v>30</v>
      </c>
      <c r="N633">
        <v>46872</v>
      </c>
    </row>
    <row r="634" spans="1:14" x14ac:dyDescent="0.3">
      <c r="A634">
        <v>2000</v>
      </c>
      <c r="B634" t="s">
        <v>1136</v>
      </c>
      <c r="C634" t="s">
        <v>652</v>
      </c>
      <c r="D634" t="s">
        <v>16</v>
      </c>
      <c r="E634" t="s">
        <v>23</v>
      </c>
      <c r="F634">
        <v>3.83</v>
      </c>
      <c r="G634">
        <v>101325</v>
      </c>
      <c r="H634" t="s">
        <v>18</v>
      </c>
      <c r="I634">
        <v>1395.73</v>
      </c>
      <c r="J634">
        <v>837.43799999999999</v>
      </c>
      <c r="K634">
        <v>10.99</v>
      </c>
      <c r="L634">
        <v>716</v>
      </c>
      <c r="M634" t="s">
        <v>33</v>
      </c>
      <c r="N634">
        <v>46872</v>
      </c>
    </row>
    <row r="635" spans="1:14" x14ac:dyDescent="0.3">
      <c r="A635">
        <v>2012</v>
      </c>
      <c r="B635" t="s">
        <v>1137</v>
      </c>
      <c r="C635" t="s">
        <v>1138</v>
      </c>
      <c r="D635" t="s">
        <v>22</v>
      </c>
      <c r="E635" t="s">
        <v>23</v>
      </c>
      <c r="F635">
        <v>3.95</v>
      </c>
      <c r="G635">
        <v>72328</v>
      </c>
      <c r="H635" t="s">
        <v>18</v>
      </c>
      <c r="I635">
        <v>125.73</v>
      </c>
      <c r="J635">
        <v>75.438000000000002</v>
      </c>
      <c r="K635">
        <v>0.99</v>
      </c>
      <c r="L635">
        <v>716</v>
      </c>
      <c r="M635" t="s">
        <v>26</v>
      </c>
      <c r="N635">
        <v>46872</v>
      </c>
    </row>
    <row r="636" spans="1:14" x14ac:dyDescent="0.3">
      <c r="A636">
        <v>2013</v>
      </c>
      <c r="B636" t="s">
        <v>1139</v>
      </c>
      <c r="C636" t="s">
        <v>1140</v>
      </c>
      <c r="D636" t="s">
        <v>22</v>
      </c>
      <c r="E636" t="s">
        <v>536</v>
      </c>
      <c r="F636">
        <v>4.1900000000000004</v>
      </c>
      <c r="G636">
        <v>106236</v>
      </c>
      <c r="H636" t="s">
        <v>18</v>
      </c>
      <c r="I636">
        <v>506.73</v>
      </c>
      <c r="J636">
        <v>0</v>
      </c>
      <c r="K636">
        <v>3.99</v>
      </c>
      <c r="L636">
        <v>717</v>
      </c>
      <c r="M636" t="s">
        <v>26</v>
      </c>
      <c r="N636">
        <v>46440</v>
      </c>
    </row>
    <row r="637" spans="1:14" x14ac:dyDescent="0.3">
      <c r="A637">
        <v>2009</v>
      </c>
      <c r="B637" t="s">
        <v>1141</v>
      </c>
      <c r="C637" t="s">
        <v>939</v>
      </c>
      <c r="D637" t="s">
        <v>22</v>
      </c>
      <c r="E637" t="s">
        <v>536</v>
      </c>
      <c r="F637">
        <v>4.1100000000000003</v>
      </c>
      <c r="G637">
        <v>82518</v>
      </c>
      <c r="H637" t="s">
        <v>18</v>
      </c>
      <c r="I637">
        <v>502.74</v>
      </c>
      <c r="J637">
        <v>0</v>
      </c>
      <c r="K637">
        <v>3.99</v>
      </c>
      <c r="L637">
        <v>719</v>
      </c>
      <c r="M637" t="s">
        <v>26</v>
      </c>
      <c r="N637">
        <v>46440</v>
      </c>
    </row>
    <row r="638" spans="1:14" x14ac:dyDescent="0.3">
      <c r="A638">
        <v>1308</v>
      </c>
      <c r="B638" t="s">
        <v>1142</v>
      </c>
      <c r="C638" t="s">
        <v>1143</v>
      </c>
      <c r="D638" t="s">
        <v>22</v>
      </c>
      <c r="E638" t="s">
        <v>536</v>
      </c>
      <c r="F638">
        <v>4.0599999999999996</v>
      </c>
      <c r="G638">
        <v>74130</v>
      </c>
      <c r="H638" t="s">
        <v>18</v>
      </c>
      <c r="I638">
        <v>124.74</v>
      </c>
      <c r="J638">
        <v>0</v>
      </c>
      <c r="K638">
        <v>0.99</v>
      </c>
      <c r="L638">
        <v>720</v>
      </c>
      <c r="M638" t="s">
        <v>26</v>
      </c>
      <c r="N638">
        <v>46008</v>
      </c>
    </row>
    <row r="639" spans="1:14" x14ac:dyDescent="0.3">
      <c r="A639">
        <v>1982</v>
      </c>
      <c r="B639" t="s">
        <v>1144</v>
      </c>
      <c r="C639" t="s">
        <v>1145</v>
      </c>
      <c r="D639" t="s">
        <v>22</v>
      </c>
      <c r="E639" t="s">
        <v>536</v>
      </c>
      <c r="F639">
        <v>4.01</v>
      </c>
      <c r="G639">
        <v>69975</v>
      </c>
      <c r="H639" t="s">
        <v>18</v>
      </c>
      <c r="I639">
        <v>1198.75</v>
      </c>
      <c r="J639">
        <v>719.25</v>
      </c>
      <c r="K639">
        <v>9.59</v>
      </c>
      <c r="L639">
        <v>724</v>
      </c>
      <c r="M639" t="s">
        <v>19</v>
      </c>
      <c r="N639">
        <v>46008</v>
      </c>
    </row>
    <row r="640" spans="1:14" x14ac:dyDescent="0.3">
      <c r="A640">
        <v>2012</v>
      </c>
      <c r="B640" t="s">
        <v>1146</v>
      </c>
      <c r="C640" t="s">
        <v>429</v>
      </c>
      <c r="D640" t="s">
        <v>22</v>
      </c>
      <c r="E640" t="s">
        <v>536</v>
      </c>
      <c r="F640">
        <v>4.33</v>
      </c>
      <c r="G640">
        <v>111448</v>
      </c>
      <c r="H640" t="s">
        <v>18</v>
      </c>
      <c r="I640">
        <v>1127.5</v>
      </c>
      <c r="J640">
        <v>676.5</v>
      </c>
      <c r="K640">
        <v>9.02</v>
      </c>
      <c r="L640">
        <v>725</v>
      </c>
      <c r="M640" t="s">
        <v>45</v>
      </c>
      <c r="N640">
        <v>46008</v>
      </c>
    </row>
    <row r="641" spans="1:14" x14ac:dyDescent="0.3">
      <c r="A641">
        <v>2013</v>
      </c>
      <c r="B641" t="s">
        <v>1147</v>
      </c>
      <c r="C641" t="s">
        <v>222</v>
      </c>
      <c r="D641" t="s">
        <v>22</v>
      </c>
      <c r="E641" t="s">
        <v>536</v>
      </c>
      <c r="F641">
        <v>4.28</v>
      </c>
      <c r="G641">
        <v>109183</v>
      </c>
      <c r="H641" t="s">
        <v>18</v>
      </c>
      <c r="I641">
        <v>122.76</v>
      </c>
      <c r="J641">
        <v>73.656000000000006</v>
      </c>
      <c r="K641">
        <v>0.99</v>
      </c>
      <c r="L641">
        <v>728</v>
      </c>
      <c r="M641" t="s">
        <v>26</v>
      </c>
      <c r="N641">
        <v>45792</v>
      </c>
    </row>
    <row r="642" spans="1:14" x14ac:dyDescent="0.3">
      <c r="A642">
        <v>2003</v>
      </c>
      <c r="B642" t="s">
        <v>1148</v>
      </c>
      <c r="C642" t="s">
        <v>1149</v>
      </c>
      <c r="D642" t="s">
        <v>16</v>
      </c>
      <c r="E642" t="s">
        <v>23</v>
      </c>
      <c r="F642">
        <v>3.79</v>
      </c>
      <c r="G642">
        <v>78129</v>
      </c>
      <c r="H642" t="s">
        <v>18</v>
      </c>
      <c r="I642">
        <v>370.76</v>
      </c>
      <c r="J642">
        <v>0</v>
      </c>
      <c r="K642">
        <v>2.99</v>
      </c>
      <c r="L642">
        <v>730</v>
      </c>
      <c r="M642" t="s">
        <v>26</v>
      </c>
      <c r="N642">
        <v>45576</v>
      </c>
    </row>
    <row r="643" spans="1:14" x14ac:dyDescent="0.3">
      <c r="A643">
        <v>2005</v>
      </c>
      <c r="B643" t="s">
        <v>1150</v>
      </c>
      <c r="C643" t="s">
        <v>731</v>
      </c>
      <c r="D643" t="s">
        <v>22</v>
      </c>
      <c r="E643" t="s">
        <v>536</v>
      </c>
      <c r="F643">
        <v>4.04</v>
      </c>
      <c r="G643">
        <v>95638</v>
      </c>
      <c r="H643" t="s">
        <v>18</v>
      </c>
      <c r="I643">
        <v>121.77</v>
      </c>
      <c r="J643">
        <v>73.061999999999998</v>
      </c>
      <c r="K643">
        <v>0.99</v>
      </c>
      <c r="L643">
        <v>733</v>
      </c>
      <c r="M643" t="s">
        <v>26</v>
      </c>
      <c r="N643">
        <v>45360</v>
      </c>
    </row>
    <row r="644" spans="1:14" x14ac:dyDescent="0.3">
      <c r="A644">
        <v>2015</v>
      </c>
      <c r="B644" t="s">
        <v>1151</v>
      </c>
      <c r="C644" t="s">
        <v>1152</v>
      </c>
      <c r="D644" t="s">
        <v>22</v>
      </c>
      <c r="E644" t="s">
        <v>23</v>
      </c>
      <c r="F644">
        <v>3.73</v>
      </c>
      <c r="G644">
        <v>53751</v>
      </c>
      <c r="H644" t="s">
        <v>18</v>
      </c>
      <c r="I644">
        <v>121.77</v>
      </c>
      <c r="J644">
        <v>73.061999999999998</v>
      </c>
      <c r="K644">
        <v>0.99</v>
      </c>
      <c r="L644">
        <v>736</v>
      </c>
      <c r="M644" t="s">
        <v>45</v>
      </c>
      <c r="N644">
        <v>45144</v>
      </c>
    </row>
    <row r="645" spans="1:14" x14ac:dyDescent="0.3">
      <c r="A645">
        <v>2016</v>
      </c>
      <c r="B645" t="s">
        <v>1153</v>
      </c>
      <c r="C645" t="s">
        <v>1154</v>
      </c>
      <c r="D645" t="s">
        <v>22</v>
      </c>
      <c r="E645" t="s">
        <v>17</v>
      </c>
      <c r="F645">
        <v>3.49</v>
      </c>
      <c r="G645">
        <v>76761</v>
      </c>
      <c r="H645" t="s">
        <v>18</v>
      </c>
      <c r="I645">
        <v>974.78</v>
      </c>
      <c r="J645">
        <v>584.86800000000005</v>
      </c>
      <c r="K645">
        <v>7.99</v>
      </c>
      <c r="L645">
        <v>737</v>
      </c>
      <c r="M645" t="s">
        <v>45</v>
      </c>
      <c r="N645">
        <v>44928</v>
      </c>
    </row>
    <row r="646" spans="1:14" x14ac:dyDescent="0.3">
      <c r="A646">
        <v>2003</v>
      </c>
      <c r="B646" t="s">
        <v>1155</v>
      </c>
      <c r="C646" t="s">
        <v>1156</v>
      </c>
      <c r="D646" t="s">
        <v>16</v>
      </c>
      <c r="E646" t="s">
        <v>536</v>
      </c>
      <c r="F646">
        <v>4.18</v>
      </c>
      <c r="G646">
        <v>92952</v>
      </c>
      <c r="H646" t="s">
        <v>18</v>
      </c>
      <c r="I646">
        <v>120.78</v>
      </c>
      <c r="J646">
        <v>72.468000000000004</v>
      </c>
      <c r="K646">
        <v>0.99</v>
      </c>
      <c r="L646">
        <v>738</v>
      </c>
      <c r="M646" t="s">
        <v>65</v>
      </c>
      <c r="N646">
        <v>44280</v>
      </c>
    </row>
    <row r="647" spans="1:14" x14ac:dyDescent="0.3">
      <c r="A647">
        <v>2001</v>
      </c>
      <c r="B647" t="s">
        <v>1157</v>
      </c>
      <c r="C647" t="s">
        <v>461</v>
      </c>
      <c r="D647" t="s">
        <v>16</v>
      </c>
      <c r="E647" t="s">
        <v>536</v>
      </c>
      <c r="F647">
        <v>4.1900000000000004</v>
      </c>
      <c r="G647">
        <v>86103</v>
      </c>
      <c r="H647" t="s">
        <v>18</v>
      </c>
      <c r="I647">
        <v>1096.78</v>
      </c>
      <c r="J647">
        <v>658.06799999999998</v>
      </c>
      <c r="K647">
        <v>8.99</v>
      </c>
      <c r="L647">
        <v>739</v>
      </c>
      <c r="M647" t="s">
        <v>45</v>
      </c>
      <c r="N647">
        <v>43848</v>
      </c>
    </row>
    <row r="648" spans="1:14" x14ac:dyDescent="0.3">
      <c r="A648">
        <v>2010</v>
      </c>
      <c r="B648" t="s">
        <v>1158</v>
      </c>
      <c r="C648" t="s">
        <v>1159</v>
      </c>
      <c r="D648" t="s">
        <v>22</v>
      </c>
      <c r="E648" t="s">
        <v>23</v>
      </c>
      <c r="F648">
        <v>3.93</v>
      </c>
      <c r="G648">
        <v>66381</v>
      </c>
      <c r="H648" t="s">
        <v>18</v>
      </c>
      <c r="I648">
        <v>486.78</v>
      </c>
      <c r="J648">
        <v>292.06799999999998</v>
      </c>
      <c r="K648">
        <v>3.99</v>
      </c>
      <c r="L648">
        <v>740</v>
      </c>
      <c r="M648" t="s">
        <v>26</v>
      </c>
      <c r="N648">
        <v>43848</v>
      </c>
    </row>
    <row r="649" spans="1:14" x14ac:dyDescent="0.3">
      <c r="A649">
        <v>1881</v>
      </c>
      <c r="B649" t="s">
        <v>1160</v>
      </c>
      <c r="C649" t="s">
        <v>1161</v>
      </c>
      <c r="D649" t="s">
        <v>22</v>
      </c>
      <c r="E649" t="s">
        <v>23</v>
      </c>
      <c r="F649">
        <v>3.84</v>
      </c>
      <c r="G649">
        <v>84682</v>
      </c>
      <c r="H649" t="s">
        <v>18</v>
      </c>
      <c r="I649">
        <v>966.79</v>
      </c>
      <c r="J649">
        <v>580.07399999999996</v>
      </c>
      <c r="K649">
        <v>7.99</v>
      </c>
      <c r="L649">
        <v>741</v>
      </c>
      <c r="M649" t="s">
        <v>45</v>
      </c>
      <c r="N649">
        <v>43416</v>
      </c>
    </row>
    <row r="650" spans="1:14" x14ac:dyDescent="0.3">
      <c r="A650">
        <v>1966</v>
      </c>
      <c r="B650" t="s">
        <v>1162</v>
      </c>
      <c r="C650" t="s">
        <v>224</v>
      </c>
      <c r="D650" t="s">
        <v>22</v>
      </c>
      <c r="E650" t="s">
        <v>536</v>
      </c>
      <c r="F650">
        <v>4.17</v>
      </c>
      <c r="G650">
        <v>80366</v>
      </c>
      <c r="H650" t="s">
        <v>18</v>
      </c>
      <c r="I650">
        <v>930.49</v>
      </c>
      <c r="J650">
        <v>558.29399999999998</v>
      </c>
      <c r="K650">
        <v>7.69</v>
      </c>
      <c r="L650">
        <v>743</v>
      </c>
      <c r="M650" t="s">
        <v>33</v>
      </c>
      <c r="N650">
        <v>43416</v>
      </c>
    </row>
    <row r="651" spans="1:14" x14ac:dyDescent="0.3">
      <c r="A651">
        <v>2010</v>
      </c>
      <c r="B651" t="s">
        <v>1163</v>
      </c>
      <c r="C651" t="s">
        <v>1164</v>
      </c>
      <c r="D651" t="s">
        <v>22</v>
      </c>
      <c r="E651" t="s">
        <v>536</v>
      </c>
      <c r="F651">
        <v>4.17</v>
      </c>
      <c r="G651">
        <v>35283</v>
      </c>
      <c r="H651" t="s">
        <v>18</v>
      </c>
      <c r="I651">
        <v>119.79</v>
      </c>
      <c r="J651">
        <v>71.873999999999995</v>
      </c>
      <c r="K651">
        <v>0.99</v>
      </c>
      <c r="L651">
        <v>743</v>
      </c>
      <c r="M651" t="s">
        <v>26</v>
      </c>
      <c r="N651">
        <v>43416</v>
      </c>
    </row>
    <row r="652" spans="1:14" x14ac:dyDescent="0.3">
      <c r="A652">
        <v>1999</v>
      </c>
      <c r="B652" t="s">
        <v>1165</v>
      </c>
      <c r="C652" t="s">
        <v>719</v>
      </c>
      <c r="D652" t="s">
        <v>22</v>
      </c>
      <c r="E652" t="s">
        <v>536</v>
      </c>
      <c r="F652">
        <v>4.17</v>
      </c>
      <c r="G652">
        <v>92737</v>
      </c>
      <c r="H652" t="s">
        <v>612</v>
      </c>
      <c r="I652">
        <v>671.55</v>
      </c>
      <c r="J652">
        <v>402.93</v>
      </c>
      <c r="K652">
        <v>5.55</v>
      </c>
      <c r="L652">
        <v>745</v>
      </c>
      <c r="M652" t="s">
        <v>26</v>
      </c>
      <c r="N652">
        <v>43200</v>
      </c>
    </row>
    <row r="653" spans="1:14" x14ac:dyDescent="0.3">
      <c r="A653">
        <v>2013</v>
      </c>
      <c r="B653" t="s">
        <v>1166</v>
      </c>
      <c r="C653" t="s">
        <v>73</v>
      </c>
      <c r="D653" t="s">
        <v>22</v>
      </c>
      <c r="E653" t="s">
        <v>23</v>
      </c>
      <c r="F653">
        <v>3.9</v>
      </c>
      <c r="G653">
        <v>75018</v>
      </c>
      <c r="H653" t="s">
        <v>18</v>
      </c>
      <c r="I653">
        <v>118.8</v>
      </c>
      <c r="J653">
        <v>0</v>
      </c>
      <c r="K653">
        <v>0.99</v>
      </c>
      <c r="L653">
        <v>746</v>
      </c>
      <c r="M653" t="s">
        <v>26</v>
      </c>
      <c r="N653">
        <v>42768</v>
      </c>
    </row>
    <row r="654" spans="1:14" x14ac:dyDescent="0.3">
      <c r="A654">
        <v>2010</v>
      </c>
      <c r="B654" t="s">
        <v>1167</v>
      </c>
      <c r="C654" t="s">
        <v>1168</v>
      </c>
      <c r="D654" t="s">
        <v>22</v>
      </c>
      <c r="E654" t="s">
        <v>52</v>
      </c>
      <c r="F654">
        <v>4.42</v>
      </c>
      <c r="G654">
        <v>82565</v>
      </c>
      <c r="H654" t="s">
        <v>18</v>
      </c>
      <c r="I654">
        <v>118.8</v>
      </c>
      <c r="J654">
        <v>71.28</v>
      </c>
      <c r="K654">
        <v>0.99</v>
      </c>
      <c r="L654">
        <v>748</v>
      </c>
      <c r="M654" t="s">
        <v>26</v>
      </c>
      <c r="N654">
        <v>42552</v>
      </c>
    </row>
    <row r="655" spans="1:14" x14ac:dyDescent="0.3">
      <c r="A655">
        <v>1933</v>
      </c>
      <c r="B655" t="s">
        <v>1169</v>
      </c>
      <c r="C655" t="s">
        <v>1170</v>
      </c>
      <c r="D655" t="s">
        <v>16</v>
      </c>
      <c r="E655" t="s">
        <v>23</v>
      </c>
      <c r="F655">
        <v>3.83</v>
      </c>
      <c r="G655">
        <v>79008</v>
      </c>
      <c r="H655" t="s">
        <v>18</v>
      </c>
      <c r="I655">
        <v>118.8</v>
      </c>
      <c r="J655">
        <v>71.28</v>
      </c>
      <c r="K655">
        <v>0.99</v>
      </c>
      <c r="L655">
        <v>750</v>
      </c>
      <c r="M655" t="s">
        <v>26</v>
      </c>
      <c r="N655">
        <v>42120</v>
      </c>
    </row>
    <row r="656" spans="1:14" x14ac:dyDescent="0.3">
      <c r="A656">
        <v>1984</v>
      </c>
      <c r="B656" t="s">
        <v>1171</v>
      </c>
      <c r="C656" t="s">
        <v>1172</v>
      </c>
      <c r="D656" t="s">
        <v>22</v>
      </c>
      <c r="E656" t="s">
        <v>23</v>
      </c>
      <c r="F656">
        <v>3.99</v>
      </c>
      <c r="G656">
        <v>82281</v>
      </c>
      <c r="H656" t="s">
        <v>18</v>
      </c>
      <c r="I656">
        <v>950.81</v>
      </c>
      <c r="J656">
        <v>570.48599999999999</v>
      </c>
      <c r="K656">
        <v>7.99</v>
      </c>
      <c r="L656">
        <v>751</v>
      </c>
      <c r="M656" t="s">
        <v>45</v>
      </c>
      <c r="N656">
        <v>42120</v>
      </c>
    </row>
    <row r="657" spans="1:14" x14ac:dyDescent="0.3">
      <c r="A657">
        <v>1945</v>
      </c>
      <c r="B657" t="s">
        <v>1173</v>
      </c>
      <c r="C657" t="s">
        <v>1174</v>
      </c>
      <c r="D657" t="s">
        <v>22</v>
      </c>
      <c r="E657" t="s">
        <v>23</v>
      </c>
      <c r="F657">
        <v>3.67</v>
      </c>
      <c r="G657">
        <v>90032</v>
      </c>
      <c r="H657" t="s">
        <v>40</v>
      </c>
      <c r="I657">
        <v>117.81</v>
      </c>
      <c r="J657">
        <v>70.686000000000007</v>
      </c>
      <c r="K657">
        <v>0.99</v>
      </c>
      <c r="L657">
        <v>752</v>
      </c>
      <c r="M657" t="s">
        <v>26</v>
      </c>
      <c r="N657">
        <v>41904</v>
      </c>
    </row>
    <row r="658" spans="1:14" x14ac:dyDescent="0.3">
      <c r="A658">
        <v>2011</v>
      </c>
      <c r="B658" t="s">
        <v>1175</v>
      </c>
      <c r="C658" t="s">
        <v>1176</v>
      </c>
      <c r="D658" t="s">
        <v>22</v>
      </c>
      <c r="E658" t="s">
        <v>23</v>
      </c>
      <c r="F658">
        <v>3.88</v>
      </c>
      <c r="G658">
        <v>64637</v>
      </c>
      <c r="H658" t="s">
        <v>40</v>
      </c>
      <c r="I658">
        <v>912.73</v>
      </c>
      <c r="J658">
        <v>547.63800000000003</v>
      </c>
      <c r="K658">
        <v>7.67</v>
      </c>
      <c r="L658">
        <v>753</v>
      </c>
      <c r="M658" t="s">
        <v>45</v>
      </c>
      <c r="N658">
        <v>41472</v>
      </c>
    </row>
    <row r="659" spans="1:14" x14ac:dyDescent="0.3">
      <c r="A659">
        <v>2007</v>
      </c>
      <c r="B659" t="s">
        <v>1177</v>
      </c>
      <c r="C659" t="s">
        <v>1178</v>
      </c>
      <c r="D659" t="s">
        <v>22</v>
      </c>
      <c r="E659" t="s">
        <v>23</v>
      </c>
      <c r="F659">
        <v>3.84</v>
      </c>
      <c r="G659">
        <v>66129</v>
      </c>
      <c r="H659" t="s">
        <v>18</v>
      </c>
      <c r="I659">
        <v>355.81</v>
      </c>
      <c r="J659">
        <v>0</v>
      </c>
      <c r="K659">
        <v>2.99</v>
      </c>
      <c r="L659">
        <v>757</v>
      </c>
      <c r="M659" t="s">
        <v>26</v>
      </c>
      <c r="N659">
        <v>41256</v>
      </c>
    </row>
    <row r="660" spans="1:14" x14ac:dyDescent="0.3">
      <c r="A660">
        <v>1996</v>
      </c>
      <c r="B660" t="s">
        <v>1179</v>
      </c>
      <c r="C660" t="s">
        <v>1180</v>
      </c>
      <c r="D660" t="s">
        <v>22</v>
      </c>
      <c r="E660" t="s">
        <v>23</v>
      </c>
      <c r="F660">
        <v>3.77</v>
      </c>
      <c r="G660">
        <v>52031</v>
      </c>
      <c r="H660" t="s">
        <v>18</v>
      </c>
      <c r="I660">
        <v>117.81</v>
      </c>
      <c r="J660">
        <v>0</v>
      </c>
      <c r="K660">
        <v>0.99</v>
      </c>
      <c r="L660">
        <v>759</v>
      </c>
      <c r="M660" t="s">
        <v>26</v>
      </c>
      <c r="N660">
        <v>40824</v>
      </c>
    </row>
    <row r="661" spans="1:14" x14ac:dyDescent="0.3">
      <c r="A661">
        <v>2011</v>
      </c>
      <c r="B661" t="s">
        <v>1181</v>
      </c>
      <c r="C661" t="s">
        <v>1182</v>
      </c>
      <c r="D661" t="s">
        <v>22</v>
      </c>
      <c r="E661" t="s">
        <v>23</v>
      </c>
      <c r="F661">
        <v>3.99</v>
      </c>
      <c r="G661">
        <v>75541</v>
      </c>
      <c r="H661" t="s">
        <v>18</v>
      </c>
      <c r="I661">
        <v>712.81</v>
      </c>
      <c r="J661">
        <v>427.68599999999998</v>
      </c>
      <c r="K661">
        <v>5.99</v>
      </c>
      <c r="L661">
        <v>760</v>
      </c>
      <c r="M661" t="s">
        <v>33</v>
      </c>
      <c r="N661">
        <v>40824</v>
      </c>
    </row>
    <row r="662" spans="1:14" x14ac:dyDescent="0.3">
      <c r="A662">
        <v>1970</v>
      </c>
      <c r="B662" t="s">
        <v>1183</v>
      </c>
      <c r="C662" t="s">
        <v>1184</v>
      </c>
      <c r="D662" t="s">
        <v>22</v>
      </c>
      <c r="E662" t="s">
        <v>23</v>
      </c>
      <c r="F662">
        <v>3.96</v>
      </c>
      <c r="G662">
        <v>76925</v>
      </c>
      <c r="H662" t="s">
        <v>18</v>
      </c>
      <c r="I662">
        <v>117.81</v>
      </c>
      <c r="J662">
        <v>70.686000000000007</v>
      </c>
      <c r="K662">
        <v>0.99</v>
      </c>
      <c r="L662">
        <v>760</v>
      </c>
      <c r="M662" t="s">
        <v>26</v>
      </c>
      <c r="N662">
        <v>40176</v>
      </c>
    </row>
    <row r="663" spans="1:14" x14ac:dyDescent="0.3">
      <c r="A663">
        <v>2011</v>
      </c>
      <c r="B663" t="s">
        <v>1185</v>
      </c>
      <c r="C663" t="s">
        <v>1186</v>
      </c>
      <c r="D663" t="s">
        <v>22</v>
      </c>
      <c r="E663" t="s">
        <v>536</v>
      </c>
      <c r="F663">
        <v>4.3600000000000003</v>
      </c>
      <c r="G663">
        <v>87718</v>
      </c>
      <c r="H663" t="s">
        <v>18</v>
      </c>
      <c r="I663">
        <v>236.81</v>
      </c>
      <c r="J663">
        <v>142.08600000000001</v>
      </c>
      <c r="K663">
        <v>1.99</v>
      </c>
      <c r="L663">
        <v>761</v>
      </c>
      <c r="M663" t="s">
        <v>26</v>
      </c>
      <c r="N663">
        <v>40176</v>
      </c>
    </row>
    <row r="664" spans="1:14" x14ac:dyDescent="0.3">
      <c r="A664">
        <v>1996</v>
      </c>
      <c r="B664" t="s">
        <v>1187</v>
      </c>
      <c r="C664" t="s">
        <v>1188</v>
      </c>
      <c r="D664" t="s">
        <v>16</v>
      </c>
      <c r="E664" t="s">
        <v>23</v>
      </c>
      <c r="F664">
        <v>3.79</v>
      </c>
      <c r="G664">
        <v>83351</v>
      </c>
      <c r="H664" t="s">
        <v>18</v>
      </c>
      <c r="I664">
        <v>712.81</v>
      </c>
      <c r="J664">
        <v>427.68599999999998</v>
      </c>
      <c r="K664">
        <v>5.99</v>
      </c>
      <c r="L664">
        <v>762</v>
      </c>
      <c r="M664" t="s">
        <v>133</v>
      </c>
      <c r="N664">
        <v>39960</v>
      </c>
    </row>
    <row r="665" spans="1:14" x14ac:dyDescent="0.3">
      <c r="A665">
        <v>2009</v>
      </c>
      <c r="B665" t="s">
        <v>1189</v>
      </c>
      <c r="C665" t="s">
        <v>939</v>
      </c>
      <c r="D665" t="s">
        <v>16</v>
      </c>
      <c r="E665" t="s">
        <v>536</v>
      </c>
      <c r="F665">
        <v>4.1399999999999997</v>
      </c>
      <c r="G665">
        <v>78592</v>
      </c>
      <c r="H665" t="s">
        <v>18</v>
      </c>
      <c r="I665">
        <v>474.81</v>
      </c>
      <c r="J665">
        <v>0</v>
      </c>
      <c r="K665">
        <v>3.99</v>
      </c>
      <c r="L665">
        <v>764</v>
      </c>
      <c r="M665" t="s">
        <v>26</v>
      </c>
      <c r="N665">
        <v>39744</v>
      </c>
    </row>
    <row r="666" spans="1:14" x14ac:dyDescent="0.3">
      <c r="A666">
        <v>2012</v>
      </c>
      <c r="B666" t="s">
        <v>1190</v>
      </c>
      <c r="C666" t="s">
        <v>1191</v>
      </c>
      <c r="D666" t="s">
        <v>22</v>
      </c>
      <c r="E666" t="s">
        <v>23</v>
      </c>
      <c r="F666">
        <v>3.91</v>
      </c>
      <c r="G666">
        <v>67928</v>
      </c>
      <c r="H666" t="s">
        <v>18</v>
      </c>
      <c r="I666">
        <v>355.81</v>
      </c>
      <c r="J666">
        <v>0</v>
      </c>
      <c r="K666">
        <v>2.99</v>
      </c>
      <c r="L666">
        <v>764</v>
      </c>
      <c r="M666" t="s">
        <v>26</v>
      </c>
      <c r="N666">
        <v>39312</v>
      </c>
    </row>
    <row r="667" spans="1:14" x14ac:dyDescent="0.3">
      <c r="A667">
        <v>1973</v>
      </c>
      <c r="B667" t="s">
        <v>1192</v>
      </c>
      <c r="C667" t="s">
        <v>1193</v>
      </c>
      <c r="D667" t="s">
        <v>22</v>
      </c>
      <c r="E667" t="s">
        <v>536</v>
      </c>
      <c r="F667">
        <v>4.07</v>
      </c>
      <c r="G667">
        <v>87277</v>
      </c>
      <c r="H667" t="s">
        <v>18</v>
      </c>
      <c r="I667">
        <v>355.81</v>
      </c>
      <c r="J667">
        <v>0</v>
      </c>
      <c r="K667">
        <v>2.99</v>
      </c>
      <c r="L667">
        <v>765</v>
      </c>
      <c r="M667" t="s">
        <v>26</v>
      </c>
      <c r="N667">
        <v>39312</v>
      </c>
    </row>
    <row r="668" spans="1:14" x14ac:dyDescent="0.3">
      <c r="A668">
        <v>2012</v>
      </c>
      <c r="B668" t="s">
        <v>1194</v>
      </c>
      <c r="C668" t="s">
        <v>943</v>
      </c>
      <c r="D668" t="s">
        <v>22</v>
      </c>
      <c r="E668" t="s">
        <v>536</v>
      </c>
      <c r="F668">
        <v>4.18</v>
      </c>
      <c r="G668">
        <v>81621</v>
      </c>
      <c r="H668" t="s">
        <v>40</v>
      </c>
      <c r="I668">
        <v>1188.81</v>
      </c>
      <c r="J668">
        <v>713.28599999999994</v>
      </c>
      <c r="K668">
        <v>9.99</v>
      </c>
      <c r="L668">
        <v>765</v>
      </c>
      <c r="M668" t="s">
        <v>30</v>
      </c>
      <c r="N668">
        <v>38880</v>
      </c>
    </row>
    <row r="669" spans="1:14" x14ac:dyDescent="0.3">
      <c r="A669">
        <v>2015</v>
      </c>
      <c r="B669" t="s">
        <v>1195</v>
      </c>
      <c r="C669" t="s">
        <v>1196</v>
      </c>
      <c r="D669" t="s">
        <v>22</v>
      </c>
      <c r="E669" t="s">
        <v>536</v>
      </c>
      <c r="F669">
        <v>4.2699999999999996</v>
      </c>
      <c r="G669">
        <v>66782</v>
      </c>
      <c r="H669" t="s">
        <v>18</v>
      </c>
      <c r="I669">
        <v>355.81</v>
      </c>
      <c r="J669">
        <v>213.48599999999999</v>
      </c>
      <c r="K669">
        <v>2.99</v>
      </c>
      <c r="L669">
        <v>766</v>
      </c>
      <c r="M669" t="s">
        <v>26</v>
      </c>
      <c r="N669">
        <v>38664</v>
      </c>
    </row>
    <row r="670" spans="1:14" x14ac:dyDescent="0.3">
      <c r="A670">
        <v>2003</v>
      </c>
      <c r="B670" t="s">
        <v>1197</v>
      </c>
      <c r="C670" t="s">
        <v>1198</v>
      </c>
      <c r="D670" t="s">
        <v>22</v>
      </c>
      <c r="E670" t="s">
        <v>536</v>
      </c>
      <c r="F670">
        <v>4.12</v>
      </c>
      <c r="G670">
        <v>81326</v>
      </c>
      <c r="H670" t="s">
        <v>18</v>
      </c>
      <c r="I670">
        <v>117.81</v>
      </c>
      <c r="J670">
        <v>0</v>
      </c>
      <c r="K670">
        <v>0.99</v>
      </c>
      <c r="L670">
        <v>767</v>
      </c>
      <c r="M670" t="s">
        <v>26</v>
      </c>
      <c r="N670">
        <v>38664</v>
      </c>
    </row>
    <row r="671" spans="1:14" x14ac:dyDescent="0.3">
      <c r="A671">
        <v>2011</v>
      </c>
      <c r="B671" t="s">
        <v>1199</v>
      </c>
      <c r="C671" t="s">
        <v>90</v>
      </c>
      <c r="D671" t="s">
        <v>22</v>
      </c>
      <c r="E671" t="s">
        <v>536</v>
      </c>
      <c r="F671">
        <v>4.2</v>
      </c>
      <c r="G671">
        <v>72185</v>
      </c>
      <c r="H671" t="s">
        <v>18</v>
      </c>
      <c r="I671">
        <v>593.80999999999995</v>
      </c>
      <c r="J671">
        <v>0</v>
      </c>
      <c r="K671">
        <v>4.99</v>
      </c>
      <c r="L671">
        <v>768</v>
      </c>
      <c r="M671" t="s">
        <v>26</v>
      </c>
      <c r="N671">
        <v>38448</v>
      </c>
    </row>
    <row r="672" spans="1:14" x14ac:dyDescent="0.3">
      <c r="A672">
        <v>2011</v>
      </c>
      <c r="B672" t="s">
        <v>1200</v>
      </c>
      <c r="C672" t="s">
        <v>82</v>
      </c>
      <c r="D672" t="s">
        <v>22</v>
      </c>
      <c r="E672" t="s">
        <v>23</v>
      </c>
      <c r="F672">
        <v>3.77</v>
      </c>
      <c r="G672">
        <v>87066</v>
      </c>
      <c r="H672" t="s">
        <v>40</v>
      </c>
      <c r="I672">
        <v>117.81</v>
      </c>
      <c r="J672">
        <v>70.686000000000007</v>
      </c>
      <c r="K672">
        <v>0.99</v>
      </c>
      <c r="L672">
        <v>770</v>
      </c>
      <c r="M672" t="s">
        <v>26</v>
      </c>
      <c r="N672">
        <v>38448</v>
      </c>
    </row>
    <row r="673" spans="1:14" x14ac:dyDescent="0.3">
      <c r="A673">
        <v>1985</v>
      </c>
      <c r="B673" t="s">
        <v>1201</v>
      </c>
      <c r="C673" t="s">
        <v>1202</v>
      </c>
      <c r="D673" t="s">
        <v>22</v>
      </c>
      <c r="E673" t="s">
        <v>23</v>
      </c>
      <c r="F673">
        <v>3.9</v>
      </c>
      <c r="G673">
        <v>80075</v>
      </c>
      <c r="H673" t="s">
        <v>18</v>
      </c>
      <c r="I673">
        <v>784.21</v>
      </c>
      <c r="J673">
        <v>470.52600000000001</v>
      </c>
      <c r="K673">
        <v>6.59</v>
      </c>
      <c r="L673">
        <v>770</v>
      </c>
      <c r="M673" t="s">
        <v>26</v>
      </c>
      <c r="N673">
        <v>38448</v>
      </c>
    </row>
    <row r="674" spans="1:14" x14ac:dyDescent="0.3">
      <c r="A674">
        <v>2012</v>
      </c>
      <c r="B674" t="s">
        <v>1203</v>
      </c>
      <c r="C674" t="s">
        <v>1204</v>
      </c>
      <c r="D674" t="s">
        <v>22</v>
      </c>
      <c r="E674" t="s">
        <v>536</v>
      </c>
      <c r="F674">
        <v>4.34</v>
      </c>
      <c r="G674">
        <v>108884</v>
      </c>
      <c r="H674" t="s">
        <v>29</v>
      </c>
      <c r="I674">
        <v>1082.9000000000001</v>
      </c>
      <c r="J674">
        <v>649.74</v>
      </c>
      <c r="K674">
        <v>9.1</v>
      </c>
      <c r="L674">
        <v>770</v>
      </c>
      <c r="M674" t="s">
        <v>26</v>
      </c>
      <c r="N674">
        <v>38232</v>
      </c>
    </row>
    <row r="675" spans="1:14" x14ac:dyDescent="0.3">
      <c r="A675">
        <v>1897</v>
      </c>
      <c r="B675" t="s">
        <v>1205</v>
      </c>
      <c r="C675" t="s">
        <v>1206</v>
      </c>
      <c r="D675" t="s">
        <v>22</v>
      </c>
      <c r="E675" t="s">
        <v>23</v>
      </c>
      <c r="F675">
        <v>3.62</v>
      </c>
      <c r="G675">
        <v>84778</v>
      </c>
      <c r="H675" t="s">
        <v>18</v>
      </c>
      <c r="I675">
        <v>117.81</v>
      </c>
      <c r="J675">
        <v>70.686000000000007</v>
      </c>
      <c r="K675">
        <v>0.99</v>
      </c>
      <c r="L675">
        <v>772</v>
      </c>
      <c r="M675" t="s">
        <v>133</v>
      </c>
      <c r="N675">
        <v>38016</v>
      </c>
    </row>
    <row r="676" spans="1:14" x14ac:dyDescent="0.3">
      <c r="A676">
        <v>1985</v>
      </c>
      <c r="B676" t="s">
        <v>1207</v>
      </c>
      <c r="C676" t="s">
        <v>1208</v>
      </c>
      <c r="D676" t="s">
        <v>22</v>
      </c>
      <c r="E676" t="s">
        <v>536</v>
      </c>
      <c r="F676">
        <v>4.1500000000000004</v>
      </c>
      <c r="G676">
        <v>63764</v>
      </c>
      <c r="H676" t="s">
        <v>18</v>
      </c>
      <c r="I676">
        <v>117.81</v>
      </c>
      <c r="J676">
        <v>70.686000000000007</v>
      </c>
      <c r="K676">
        <v>0.99</v>
      </c>
      <c r="L676">
        <v>773</v>
      </c>
      <c r="M676" t="s">
        <v>26</v>
      </c>
      <c r="N676">
        <v>38016</v>
      </c>
    </row>
    <row r="677" spans="1:14" x14ac:dyDescent="0.3">
      <c r="A677">
        <v>1994</v>
      </c>
      <c r="B677" t="s">
        <v>1209</v>
      </c>
      <c r="C677" t="s">
        <v>1210</v>
      </c>
      <c r="D677" t="s">
        <v>22</v>
      </c>
      <c r="E677" t="s">
        <v>23</v>
      </c>
      <c r="F677">
        <v>3.57</v>
      </c>
      <c r="G677">
        <v>62106</v>
      </c>
      <c r="H677" t="s">
        <v>18</v>
      </c>
      <c r="I677">
        <v>915.11</v>
      </c>
      <c r="J677">
        <v>549.06600000000003</v>
      </c>
      <c r="K677">
        <v>7.69</v>
      </c>
      <c r="L677">
        <v>775</v>
      </c>
      <c r="M677" t="s">
        <v>45</v>
      </c>
      <c r="N677">
        <v>37584</v>
      </c>
    </row>
    <row r="678" spans="1:14" x14ac:dyDescent="0.3">
      <c r="A678">
        <v>1812</v>
      </c>
      <c r="B678" t="s">
        <v>1211</v>
      </c>
      <c r="C678" t="s">
        <v>1212</v>
      </c>
      <c r="D678" t="s">
        <v>22</v>
      </c>
      <c r="E678" t="s">
        <v>23</v>
      </c>
      <c r="F678">
        <v>3.92</v>
      </c>
      <c r="G678">
        <v>78355</v>
      </c>
      <c r="H678" t="s">
        <v>18</v>
      </c>
      <c r="I678">
        <v>355.81</v>
      </c>
      <c r="J678">
        <v>0</v>
      </c>
      <c r="K678">
        <v>2.99</v>
      </c>
      <c r="L678">
        <v>779</v>
      </c>
      <c r="M678" t="s">
        <v>26</v>
      </c>
      <c r="N678">
        <v>37584</v>
      </c>
    </row>
    <row r="679" spans="1:14" x14ac:dyDescent="0.3">
      <c r="A679">
        <v>1990</v>
      </c>
      <c r="B679" t="s">
        <v>1213</v>
      </c>
      <c r="C679" t="s">
        <v>73</v>
      </c>
      <c r="D679" t="s">
        <v>92</v>
      </c>
      <c r="E679" t="s">
        <v>23</v>
      </c>
      <c r="F679">
        <v>3.9</v>
      </c>
      <c r="G679">
        <v>76376</v>
      </c>
      <c r="H679" t="s">
        <v>40</v>
      </c>
      <c r="I679">
        <v>640.22</v>
      </c>
      <c r="J679">
        <v>384.13200000000001</v>
      </c>
      <c r="K679">
        <v>5.38</v>
      </c>
      <c r="L679">
        <v>779</v>
      </c>
      <c r="M679" t="s">
        <v>19</v>
      </c>
      <c r="N679">
        <v>37368</v>
      </c>
    </row>
    <row r="680" spans="1:14" x14ac:dyDescent="0.3">
      <c r="A680">
        <v>2012</v>
      </c>
      <c r="B680" t="s">
        <v>1214</v>
      </c>
      <c r="C680" t="s">
        <v>1215</v>
      </c>
      <c r="D680" t="s">
        <v>22</v>
      </c>
      <c r="E680" t="s">
        <v>23</v>
      </c>
      <c r="F680">
        <v>3.81</v>
      </c>
      <c r="G680">
        <v>91630</v>
      </c>
      <c r="H680" t="s">
        <v>18</v>
      </c>
      <c r="I680">
        <v>1307.81</v>
      </c>
      <c r="J680">
        <v>784.68600000000004</v>
      </c>
      <c r="K680">
        <v>10.99</v>
      </c>
      <c r="L680">
        <v>781</v>
      </c>
      <c r="M680" t="s">
        <v>45</v>
      </c>
      <c r="N680">
        <v>37368</v>
      </c>
    </row>
    <row r="681" spans="1:14" x14ac:dyDescent="0.3">
      <c r="A681">
        <v>1909</v>
      </c>
      <c r="B681" t="s">
        <v>1216</v>
      </c>
      <c r="C681" t="s">
        <v>800</v>
      </c>
      <c r="D681" t="s">
        <v>16</v>
      </c>
      <c r="E681" t="s">
        <v>536</v>
      </c>
      <c r="F681">
        <v>4.21</v>
      </c>
      <c r="G681">
        <v>99918</v>
      </c>
      <c r="H681" t="s">
        <v>18</v>
      </c>
      <c r="I681">
        <v>117.81</v>
      </c>
      <c r="J681">
        <v>70.686000000000007</v>
      </c>
      <c r="K681">
        <v>0.99</v>
      </c>
      <c r="L681">
        <v>782</v>
      </c>
      <c r="M681" t="s">
        <v>26</v>
      </c>
      <c r="N681">
        <v>37368</v>
      </c>
    </row>
    <row r="682" spans="1:14" x14ac:dyDescent="0.3">
      <c r="A682">
        <v>1930</v>
      </c>
      <c r="B682" t="s">
        <v>1217</v>
      </c>
      <c r="C682" t="s">
        <v>1218</v>
      </c>
      <c r="D682" t="s">
        <v>16</v>
      </c>
      <c r="E682" t="s">
        <v>536</v>
      </c>
      <c r="F682">
        <v>4.1500000000000004</v>
      </c>
      <c r="G682">
        <v>82102</v>
      </c>
      <c r="H682" t="s">
        <v>18</v>
      </c>
      <c r="I682">
        <v>593.80999999999995</v>
      </c>
      <c r="J682">
        <v>0</v>
      </c>
      <c r="K682">
        <v>4.99</v>
      </c>
      <c r="L682">
        <v>783</v>
      </c>
      <c r="M682" t="s">
        <v>26</v>
      </c>
      <c r="N682">
        <v>37152</v>
      </c>
    </row>
    <row r="683" spans="1:14" x14ac:dyDescent="0.3">
      <c r="A683">
        <v>2013</v>
      </c>
      <c r="B683" t="s">
        <v>1219</v>
      </c>
      <c r="C683" t="s">
        <v>1220</v>
      </c>
      <c r="D683" t="s">
        <v>22</v>
      </c>
      <c r="E683" t="s">
        <v>23</v>
      </c>
      <c r="F683">
        <v>3.71</v>
      </c>
      <c r="G683">
        <v>59973</v>
      </c>
      <c r="H683" t="s">
        <v>18</v>
      </c>
      <c r="I683">
        <v>355.81</v>
      </c>
      <c r="J683">
        <v>0</v>
      </c>
      <c r="K683">
        <v>2.99</v>
      </c>
      <c r="L683">
        <v>783</v>
      </c>
      <c r="M683" t="s">
        <v>26</v>
      </c>
      <c r="N683">
        <v>37152</v>
      </c>
    </row>
    <row r="684" spans="1:14" x14ac:dyDescent="0.3">
      <c r="A684">
        <v>1996</v>
      </c>
      <c r="B684" t="s">
        <v>1221</v>
      </c>
      <c r="C684" t="s">
        <v>447</v>
      </c>
      <c r="D684" t="s">
        <v>22</v>
      </c>
      <c r="E684" t="s">
        <v>23</v>
      </c>
      <c r="F684">
        <v>3.74</v>
      </c>
      <c r="G684">
        <v>74517</v>
      </c>
      <c r="H684" t="s">
        <v>18</v>
      </c>
      <c r="I684">
        <v>1022.21</v>
      </c>
      <c r="J684">
        <v>613.32600000000002</v>
      </c>
      <c r="K684">
        <v>8.59</v>
      </c>
      <c r="L684">
        <v>784</v>
      </c>
      <c r="M684" t="s">
        <v>26</v>
      </c>
      <c r="N684">
        <v>36936</v>
      </c>
    </row>
    <row r="685" spans="1:14" x14ac:dyDescent="0.3">
      <c r="A685">
        <v>1922</v>
      </c>
      <c r="B685" t="s">
        <v>1222</v>
      </c>
      <c r="C685" t="s">
        <v>1223</v>
      </c>
      <c r="D685" t="s">
        <v>22</v>
      </c>
      <c r="E685" t="s">
        <v>23</v>
      </c>
      <c r="F685">
        <v>3.74</v>
      </c>
      <c r="G685">
        <v>76791</v>
      </c>
      <c r="H685" t="s">
        <v>18</v>
      </c>
      <c r="I685">
        <v>117.81</v>
      </c>
      <c r="J685">
        <v>0</v>
      </c>
      <c r="K685">
        <v>0.99</v>
      </c>
      <c r="L685">
        <v>786</v>
      </c>
      <c r="M685" t="s">
        <v>26</v>
      </c>
      <c r="N685">
        <v>36936</v>
      </c>
    </row>
    <row r="686" spans="1:14" x14ac:dyDescent="0.3">
      <c r="A686">
        <v>1998</v>
      </c>
      <c r="B686" t="s">
        <v>1224</v>
      </c>
      <c r="C686" t="s">
        <v>47</v>
      </c>
      <c r="D686" t="s">
        <v>22</v>
      </c>
      <c r="E686" t="s">
        <v>23</v>
      </c>
      <c r="F686">
        <v>3.94</v>
      </c>
      <c r="G686">
        <v>84358</v>
      </c>
      <c r="H686" t="s">
        <v>40</v>
      </c>
      <c r="I686">
        <v>355.81</v>
      </c>
      <c r="J686">
        <v>213.48599999999999</v>
      </c>
      <c r="K686">
        <v>2.99</v>
      </c>
      <c r="L686">
        <v>786</v>
      </c>
      <c r="M686" t="s">
        <v>65</v>
      </c>
      <c r="N686">
        <v>36936</v>
      </c>
    </row>
    <row r="687" spans="1:14" x14ac:dyDescent="0.3">
      <c r="A687">
        <v>2003</v>
      </c>
      <c r="B687" t="s">
        <v>1225</v>
      </c>
      <c r="C687" t="s">
        <v>1226</v>
      </c>
      <c r="D687" t="s">
        <v>16</v>
      </c>
      <c r="E687" t="s">
        <v>536</v>
      </c>
      <c r="F687">
        <v>4.1500000000000004</v>
      </c>
      <c r="G687">
        <v>75307</v>
      </c>
      <c r="H687" t="s">
        <v>40</v>
      </c>
      <c r="I687">
        <v>950.81</v>
      </c>
      <c r="J687">
        <v>570.48599999999999</v>
      </c>
      <c r="K687">
        <v>7.99</v>
      </c>
      <c r="L687">
        <v>787</v>
      </c>
      <c r="M687" t="s">
        <v>582</v>
      </c>
      <c r="N687">
        <v>36720</v>
      </c>
    </row>
    <row r="688" spans="1:14" x14ac:dyDescent="0.3">
      <c r="A688">
        <v>1990</v>
      </c>
      <c r="B688" t="s">
        <v>1227</v>
      </c>
      <c r="C688" t="s">
        <v>332</v>
      </c>
      <c r="D688" t="s">
        <v>22</v>
      </c>
      <c r="E688" t="s">
        <v>536</v>
      </c>
      <c r="F688">
        <v>4.0999999999999996</v>
      </c>
      <c r="G688">
        <v>79824</v>
      </c>
      <c r="H688" t="s">
        <v>40</v>
      </c>
      <c r="I688">
        <v>357.54</v>
      </c>
      <c r="J688">
        <v>214.524</v>
      </c>
      <c r="K688">
        <v>3.03</v>
      </c>
      <c r="L688">
        <v>789</v>
      </c>
      <c r="M688" t="s">
        <v>26</v>
      </c>
      <c r="N688">
        <v>36504</v>
      </c>
    </row>
    <row r="689" spans="1:14" x14ac:dyDescent="0.3">
      <c r="A689">
        <v>1986</v>
      </c>
      <c r="B689" t="s">
        <v>1228</v>
      </c>
      <c r="C689" t="s">
        <v>1229</v>
      </c>
      <c r="D689" t="s">
        <v>22</v>
      </c>
      <c r="E689" t="s">
        <v>536</v>
      </c>
      <c r="F689">
        <v>4.24</v>
      </c>
      <c r="G689">
        <v>71815</v>
      </c>
      <c r="H689" t="s">
        <v>18</v>
      </c>
      <c r="I689">
        <v>352.82</v>
      </c>
      <c r="J689">
        <v>0</v>
      </c>
      <c r="K689">
        <v>2.99</v>
      </c>
      <c r="L689">
        <v>791</v>
      </c>
      <c r="M689" t="s">
        <v>26</v>
      </c>
      <c r="N689">
        <v>36504</v>
      </c>
    </row>
    <row r="690" spans="1:14" x14ac:dyDescent="0.3">
      <c r="A690">
        <v>2012</v>
      </c>
      <c r="B690" t="s">
        <v>1230</v>
      </c>
      <c r="C690" t="s">
        <v>1231</v>
      </c>
      <c r="D690" t="s">
        <v>22</v>
      </c>
      <c r="E690" t="s">
        <v>536</v>
      </c>
      <c r="F690">
        <v>4.21</v>
      </c>
      <c r="G690">
        <v>97615</v>
      </c>
      <c r="H690" t="s">
        <v>18</v>
      </c>
      <c r="I690">
        <v>116.82</v>
      </c>
      <c r="J690">
        <v>70.091999999999999</v>
      </c>
      <c r="K690">
        <v>0.99</v>
      </c>
      <c r="L690">
        <v>792</v>
      </c>
      <c r="M690" t="s">
        <v>26</v>
      </c>
      <c r="N690">
        <v>36504</v>
      </c>
    </row>
    <row r="691" spans="1:14" x14ac:dyDescent="0.3">
      <c r="A691">
        <v>2015</v>
      </c>
      <c r="B691" t="s">
        <v>1232</v>
      </c>
      <c r="C691" t="s">
        <v>1233</v>
      </c>
      <c r="D691" t="s">
        <v>22</v>
      </c>
      <c r="E691" t="s">
        <v>23</v>
      </c>
      <c r="F691">
        <v>3.56</v>
      </c>
      <c r="G691">
        <v>66085</v>
      </c>
      <c r="H691" t="s">
        <v>18</v>
      </c>
      <c r="I691">
        <v>862.58</v>
      </c>
      <c r="J691">
        <v>517.548</v>
      </c>
      <c r="K691">
        <v>7.31</v>
      </c>
      <c r="L691">
        <v>792</v>
      </c>
      <c r="M691" t="s">
        <v>19</v>
      </c>
      <c r="N691">
        <v>36504</v>
      </c>
    </row>
    <row r="692" spans="1:14" x14ac:dyDescent="0.3">
      <c r="A692">
        <v>1998</v>
      </c>
      <c r="B692" t="s">
        <v>1234</v>
      </c>
      <c r="C692" t="s">
        <v>204</v>
      </c>
      <c r="D692" t="s">
        <v>16</v>
      </c>
      <c r="E692" t="s">
        <v>23</v>
      </c>
      <c r="F692">
        <v>3.83</v>
      </c>
      <c r="G692">
        <v>73515</v>
      </c>
      <c r="H692" t="s">
        <v>18</v>
      </c>
      <c r="I692">
        <v>862.58</v>
      </c>
      <c r="J692">
        <v>517.548</v>
      </c>
      <c r="K692">
        <v>7.31</v>
      </c>
      <c r="L692">
        <v>794</v>
      </c>
      <c r="M692" t="s">
        <v>33</v>
      </c>
      <c r="N692">
        <v>36504</v>
      </c>
    </row>
    <row r="693" spans="1:14" x14ac:dyDescent="0.3">
      <c r="A693">
        <v>1945</v>
      </c>
      <c r="B693" t="s">
        <v>1235</v>
      </c>
      <c r="C693" t="s">
        <v>1236</v>
      </c>
      <c r="D693" t="s">
        <v>16</v>
      </c>
      <c r="E693" t="s">
        <v>23</v>
      </c>
      <c r="F693">
        <v>3.88</v>
      </c>
      <c r="G693">
        <v>89033</v>
      </c>
      <c r="H693" t="s">
        <v>18</v>
      </c>
      <c r="I693">
        <v>352.82</v>
      </c>
      <c r="J693">
        <v>211.69200000000001</v>
      </c>
      <c r="K693">
        <v>2.99</v>
      </c>
      <c r="L693">
        <v>797</v>
      </c>
      <c r="M693" t="s">
        <v>26</v>
      </c>
      <c r="N693">
        <v>36504</v>
      </c>
    </row>
    <row r="694" spans="1:14" x14ac:dyDescent="0.3">
      <c r="A694">
        <v>1953</v>
      </c>
      <c r="B694" t="s">
        <v>1237</v>
      </c>
      <c r="C694" t="s">
        <v>498</v>
      </c>
      <c r="D694" t="s">
        <v>22</v>
      </c>
      <c r="E694" t="s">
        <v>536</v>
      </c>
      <c r="F694">
        <v>4.3899999999999997</v>
      </c>
      <c r="G694">
        <v>72311</v>
      </c>
      <c r="H694" t="s">
        <v>29</v>
      </c>
      <c r="I694">
        <v>1060.82</v>
      </c>
      <c r="J694">
        <v>636.49199999999996</v>
      </c>
      <c r="K694">
        <v>8.99</v>
      </c>
      <c r="L694">
        <v>797</v>
      </c>
      <c r="M694" t="s">
        <v>19</v>
      </c>
      <c r="N694">
        <v>36504</v>
      </c>
    </row>
    <row r="695" spans="1:14" x14ac:dyDescent="0.3">
      <c r="A695">
        <v>1999</v>
      </c>
      <c r="B695" t="s">
        <v>1238</v>
      </c>
      <c r="C695" t="s">
        <v>1239</v>
      </c>
      <c r="D695" t="s">
        <v>16</v>
      </c>
      <c r="E695" t="s">
        <v>536</v>
      </c>
      <c r="F695">
        <v>4.0599999999999996</v>
      </c>
      <c r="G695">
        <v>32626</v>
      </c>
      <c r="H695" t="s">
        <v>18</v>
      </c>
      <c r="I695">
        <v>352.82</v>
      </c>
      <c r="J695">
        <v>0</v>
      </c>
      <c r="K695">
        <v>2.99</v>
      </c>
      <c r="L695">
        <v>798</v>
      </c>
      <c r="M695" t="s">
        <v>26</v>
      </c>
      <c r="N695">
        <v>36288</v>
      </c>
    </row>
    <row r="696" spans="1:14" x14ac:dyDescent="0.3">
      <c r="A696">
        <v>2000</v>
      </c>
      <c r="B696" t="s">
        <v>1240</v>
      </c>
      <c r="C696" t="s">
        <v>652</v>
      </c>
      <c r="D696" t="s">
        <v>22</v>
      </c>
      <c r="E696" t="s">
        <v>23</v>
      </c>
      <c r="F696">
        <v>3.97</v>
      </c>
      <c r="G696">
        <v>99311</v>
      </c>
      <c r="H696" t="s">
        <v>18</v>
      </c>
      <c r="I696">
        <v>116.82</v>
      </c>
      <c r="J696">
        <v>0</v>
      </c>
      <c r="K696">
        <v>0.99</v>
      </c>
      <c r="L696">
        <v>799</v>
      </c>
      <c r="M696" t="s">
        <v>26</v>
      </c>
      <c r="N696">
        <v>36288</v>
      </c>
    </row>
    <row r="697" spans="1:14" x14ac:dyDescent="0.3">
      <c r="A697">
        <v>2001</v>
      </c>
      <c r="B697" t="s">
        <v>1241</v>
      </c>
      <c r="C697" t="s">
        <v>719</v>
      </c>
      <c r="D697" t="s">
        <v>16</v>
      </c>
      <c r="E697" t="s">
        <v>536</v>
      </c>
      <c r="F697">
        <v>4.1500000000000004</v>
      </c>
      <c r="G697">
        <v>94506</v>
      </c>
      <c r="H697" t="s">
        <v>18</v>
      </c>
      <c r="I697">
        <v>1320.42</v>
      </c>
      <c r="J697">
        <v>792.25199999999995</v>
      </c>
      <c r="K697">
        <v>11.19</v>
      </c>
      <c r="L697">
        <v>800</v>
      </c>
      <c r="M697" t="s">
        <v>19</v>
      </c>
      <c r="N697">
        <v>36072</v>
      </c>
    </row>
    <row r="698" spans="1:14" x14ac:dyDescent="0.3">
      <c r="A698">
        <v>2009</v>
      </c>
      <c r="B698" t="s">
        <v>485</v>
      </c>
      <c r="C698" t="s">
        <v>666</v>
      </c>
      <c r="D698" t="s">
        <v>22</v>
      </c>
      <c r="E698" t="s">
        <v>536</v>
      </c>
      <c r="F698">
        <v>4.16</v>
      </c>
      <c r="G698">
        <v>95026</v>
      </c>
      <c r="H698" t="s">
        <v>18</v>
      </c>
      <c r="I698">
        <v>761.1</v>
      </c>
      <c r="J698">
        <v>456.66</v>
      </c>
      <c r="K698">
        <v>6.45</v>
      </c>
      <c r="L698">
        <v>802</v>
      </c>
      <c r="M698" t="s">
        <v>65</v>
      </c>
      <c r="N698">
        <v>36072</v>
      </c>
    </row>
    <row r="699" spans="1:14" x14ac:dyDescent="0.3">
      <c r="A699">
        <v>2003</v>
      </c>
      <c r="B699" t="s">
        <v>1242</v>
      </c>
      <c r="C699" t="s">
        <v>682</v>
      </c>
      <c r="D699" t="s">
        <v>22</v>
      </c>
      <c r="E699" t="s">
        <v>536</v>
      </c>
      <c r="F699">
        <v>4.32</v>
      </c>
      <c r="G699">
        <v>83664</v>
      </c>
      <c r="H699" t="s">
        <v>612</v>
      </c>
      <c r="I699">
        <v>654.9</v>
      </c>
      <c r="J699">
        <v>392.94</v>
      </c>
      <c r="K699">
        <v>5.55</v>
      </c>
      <c r="L699">
        <v>802</v>
      </c>
      <c r="M699" t="s">
        <v>26</v>
      </c>
      <c r="N699">
        <v>36072</v>
      </c>
    </row>
    <row r="700" spans="1:14" x14ac:dyDescent="0.3">
      <c r="A700">
        <v>1993</v>
      </c>
      <c r="B700" t="s">
        <v>1243</v>
      </c>
      <c r="C700" t="s">
        <v>1244</v>
      </c>
      <c r="D700" t="s">
        <v>16</v>
      </c>
      <c r="E700" t="s">
        <v>536</v>
      </c>
      <c r="F700">
        <v>4.22</v>
      </c>
      <c r="G700">
        <v>87423</v>
      </c>
      <c r="H700" t="s">
        <v>18</v>
      </c>
      <c r="I700">
        <v>116.82</v>
      </c>
      <c r="J700">
        <v>70.091999999999999</v>
      </c>
      <c r="K700">
        <v>0.99</v>
      </c>
      <c r="L700">
        <v>803</v>
      </c>
      <c r="M700" t="s">
        <v>26</v>
      </c>
      <c r="N700">
        <v>36072</v>
      </c>
    </row>
    <row r="701" spans="1:14" x14ac:dyDescent="0.3">
      <c r="A701">
        <v>2007</v>
      </c>
      <c r="B701" t="s">
        <v>1245</v>
      </c>
      <c r="C701" t="s">
        <v>729</v>
      </c>
      <c r="D701" t="s">
        <v>22</v>
      </c>
      <c r="E701" t="s">
        <v>536</v>
      </c>
      <c r="F701">
        <v>4.2699999999999996</v>
      </c>
      <c r="G701">
        <v>68865</v>
      </c>
      <c r="H701" t="s">
        <v>18</v>
      </c>
      <c r="I701">
        <v>116.82</v>
      </c>
      <c r="J701">
        <v>70.091999999999999</v>
      </c>
      <c r="K701">
        <v>0.99</v>
      </c>
      <c r="L701">
        <v>804</v>
      </c>
      <c r="M701" t="s">
        <v>45</v>
      </c>
      <c r="N701">
        <v>35856</v>
      </c>
    </row>
    <row r="702" spans="1:14" x14ac:dyDescent="0.3">
      <c r="A702">
        <v>2007</v>
      </c>
      <c r="B702" t="s">
        <v>1246</v>
      </c>
      <c r="C702" t="s">
        <v>1247</v>
      </c>
      <c r="D702" t="s">
        <v>16</v>
      </c>
      <c r="E702" t="s">
        <v>23</v>
      </c>
      <c r="F702">
        <v>3.73</v>
      </c>
      <c r="G702">
        <v>72734</v>
      </c>
      <c r="H702" t="s">
        <v>18</v>
      </c>
      <c r="I702">
        <v>824.82</v>
      </c>
      <c r="J702">
        <v>494.892</v>
      </c>
      <c r="K702">
        <v>6.99</v>
      </c>
      <c r="L702">
        <v>804</v>
      </c>
      <c r="M702" t="s">
        <v>30</v>
      </c>
      <c r="N702">
        <v>35640</v>
      </c>
    </row>
    <row r="703" spans="1:14" x14ac:dyDescent="0.3">
      <c r="A703">
        <v>2002</v>
      </c>
      <c r="B703" t="s">
        <v>1248</v>
      </c>
      <c r="C703" t="s">
        <v>1249</v>
      </c>
      <c r="D703" t="s">
        <v>16</v>
      </c>
      <c r="E703" t="s">
        <v>536</v>
      </c>
      <c r="F703">
        <v>4.17</v>
      </c>
      <c r="G703">
        <v>93057</v>
      </c>
      <c r="H703" t="s">
        <v>40</v>
      </c>
      <c r="I703">
        <v>1060.82</v>
      </c>
      <c r="J703">
        <v>636.49199999999996</v>
      </c>
      <c r="K703">
        <v>8.99</v>
      </c>
      <c r="L703">
        <v>805</v>
      </c>
      <c r="M703" t="s">
        <v>45</v>
      </c>
      <c r="N703">
        <v>35640</v>
      </c>
    </row>
    <row r="704" spans="1:14" x14ac:dyDescent="0.3">
      <c r="A704">
        <v>2001</v>
      </c>
      <c r="B704" t="s">
        <v>1250</v>
      </c>
      <c r="C704" t="s">
        <v>652</v>
      </c>
      <c r="D704" t="s">
        <v>22</v>
      </c>
      <c r="E704" t="s">
        <v>23</v>
      </c>
      <c r="F704">
        <v>3.94</v>
      </c>
      <c r="G704">
        <v>89733</v>
      </c>
      <c r="H704" t="s">
        <v>18</v>
      </c>
      <c r="I704">
        <v>706.82</v>
      </c>
      <c r="J704">
        <v>424.09199999999998</v>
      </c>
      <c r="K704">
        <v>5.99</v>
      </c>
      <c r="L704">
        <v>808</v>
      </c>
      <c r="M704" t="s">
        <v>33</v>
      </c>
      <c r="N704">
        <v>35640</v>
      </c>
    </row>
    <row r="705" spans="1:14" x14ac:dyDescent="0.3">
      <c r="A705">
        <v>1973</v>
      </c>
      <c r="B705" t="s">
        <v>1251</v>
      </c>
      <c r="C705" t="s">
        <v>1252</v>
      </c>
      <c r="D705" t="s">
        <v>16</v>
      </c>
      <c r="E705" t="s">
        <v>23</v>
      </c>
      <c r="F705">
        <v>3.99</v>
      </c>
      <c r="G705">
        <v>72493</v>
      </c>
      <c r="H705" t="s">
        <v>40</v>
      </c>
      <c r="I705">
        <v>502.68</v>
      </c>
      <c r="J705">
        <v>301.608</v>
      </c>
      <c r="K705">
        <v>4.26</v>
      </c>
      <c r="L705">
        <v>809</v>
      </c>
      <c r="M705" t="s">
        <v>379</v>
      </c>
      <c r="N705">
        <v>35640</v>
      </c>
    </row>
    <row r="706" spans="1:14" x14ac:dyDescent="0.3">
      <c r="A706">
        <v>1980</v>
      </c>
      <c r="B706" t="s">
        <v>1253</v>
      </c>
      <c r="C706" t="s">
        <v>877</v>
      </c>
      <c r="D706" t="s">
        <v>22</v>
      </c>
      <c r="E706" t="s">
        <v>536</v>
      </c>
      <c r="F706">
        <v>4.3499999999999996</v>
      </c>
      <c r="G706">
        <v>76440</v>
      </c>
      <c r="H706" t="s">
        <v>40</v>
      </c>
      <c r="I706">
        <v>1131.6199999999999</v>
      </c>
      <c r="J706">
        <v>678.97199999999998</v>
      </c>
      <c r="K706">
        <v>9.59</v>
      </c>
      <c r="L706">
        <v>810</v>
      </c>
      <c r="M706" t="s">
        <v>33</v>
      </c>
      <c r="N706">
        <v>35640</v>
      </c>
    </row>
    <row r="707" spans="1:14" x14ac:dyDescent="0.3">
      <c r="A707">
        <v>2005</v>
      </c>
      <c r="B707" t="s">
        <v>1254</v>
      </c>
      <c r="C707" t="s">
        <v>618</v>
      </c>
      <c r="D707" t="s">
        <v>22</v>
      </c>
      <c r="E707" t="s">
        <v>23</v>
      </c>
      <c r="F707">
        <v>3.59</v>
      </c>
      <c r="G707">
        <v>68861</v>
      </c>
      <c r="H707" t="s">
        <v>29</v>
      </c>
      <c r="I707">
        <v>234.82</v>
      </c>
      <c r="J707">
        <v>140.892</v>
      </c>
      <c r="K707">
        <v>1.99</v>
      </c>
      <c r="L707">
        <v>810</v>
      </c>
      <c r="M707" t="s">
        <v>65</v>
      </c>
      <c r="N707">
        <v>35424</v>
      </c>
    </row>
    <row r="708" spans="1:14" x14ac:dyDescent="0.3">
      <c r="A708">
        <v>1987</v>
      </c>
      <c r="B708" t="s">
        <v>1255</v>
      </c>
      <c r="C708" t="s">
        <v>1256</v>
      </c>
      <c r="D708" t="s">
        <v>22</v>
      </c>
      <c r="E708" t="s">
        <v>536</v>
      </c>
      <c r="F708">
        <v>4.13</v>
      </c>
      <c r="G708">
        <v>73573</v>
      </c>
      <c r="H708" t="s">
        <v>18</v>
      </c>
      <c r="I708">
        <v>588.82000000000005</v>
      </c>
      <c r="J708">
        <v>0</v>
      </c>
      <c r="K708">
        <v>4.99</v>
      </c>
      <c r="L708">
        <v>811</v>
      </c>
      <c r="M708" t="s">
        <v>26</v>
      </c>
      <c r="N708">
        <v>35424</v>
      </c>
    </row>
    <row r="709" spans="1:14" x14ac:dyDescent="0.3">
      <c r="A709">
        <v>2006</v>
      </c>
      <c r="B709" t="s">
        <v>1257</v>
      </c>
      <c r="C709" t="s">
        <v>529</v>
      </c>
      <c r="D709" t="s">
        <v>22</v>
      </c>
      <c r="E709" t="s">
        <v>536</v>
      </c>
      <c r="F709">
        <v>4.16</v>
      </c>
      <c r="G709">
        <v>59333</v>
      </c>
      <c r="H709" t="s">
        <v>18</v>
      </c>
      <c r="I709">
        <v>1680.32</v>
      </c>
      <c r="J709">
        <v>1008.192</v>
      </c>
      <c r="K709">
        <v>14.24</v>
      </c>
      <c r="L709">
        <v>811</v>
      </c>
      <c r="M709" t="s">
        <v>33</v>
      </c>
      <c r="N709">
        <v>35424</v>
      </c>
    </row>
    <row r="710" spans="1:14" x14ac:dyDescent="0.3">
      <c r="A710">
        <v>1981</v>
      </c>
      <c r="B710" t="s">
        <v>1258</v>
      </c>
      <c r="C710" t="s">
        <v>1259</v>
      </c>
      <c r="D710" t="s">
        <v>22</v>
      </c>
      <c r="E710" t="s">
        <v>23</v>
      </c>
      <c r="F710">
        <v>3.95</v>
      </c>
      <c r="G710">
        <v>56200</v>
      </c>
      <c r="H710" t="s">
        <v>18</v>
      </c>
      <c r="I710">
        <v>1128.08</v>
      </c>
      <c r="J710">
        <v>676.84799999999996</v>
      </c>
      <c r="K710">
        <v>9.56</v>
      </c>
      <c r="L710">
        <v>813</v>
      </c>
      <c r="M710" t="s">
        <v>65</v>
      </c>
      <c r="N710">
        <v>35208</v>
      </c>
    </row>
    <row r="711" spans="1:14" x14ac:dyDescent="0.3">
      <c r="A711">
        <v>1891</v>
      </c>
      <c r="B711" t="s">
        <v>1260</v>
      </c>
      <c r="C711" t="s">
        <v>1261</v>
      </c>
      <c r="D711" t="s">
        <v>22</v>
      </c>
      <c r="E711" t="s">
        <v>536</v>
      </c>
      <c r="F711">
        <v>4.22</v>
      </c>
      <c r="G711">
        <v>65422</v>
      </c>
      <c r="H711" t="s">
        <v>40</v>
      </c>
      <c r="I711">
        <v>352.82</v>
      </c>
      <c r="J711">
        <v>211.69200000000001</v>
      </c>
      <c r="K711">
        <v>2.99</v>
      </c>
      <c r="L711">
        <v>814</v>
      </c>
      <c r="M711" t="s">
        <v>26</v>
      </c>
      <c r="N711">
        <v>35208</v>
      </c>
    </row>
    <row r="712" spans="1:14" x14ac:dyDescent="0.3">
      <c r="A712">
        <v>2011</v>
      </c>
      <c r="B712" t="s">
        <v>1262</v>
      </c>
      <c r="C712" t="s">
        <v>1263</v>
      </c>
      <c r="D712" t="s">
        <v>22</v>
      </c>
      <c r="E712" t="s">
        <v>536</v>
      </c>
      <c r="F712">
        <v>4.0199999999999996</v>
      </c>
      <c r="G712">
        <v>71868</v>
      </c>
      <c r="H712" t="s">
        <v>612</v>
      </c>
      <c r="I712">
        <v>872.02</v>
      </c>
      <c r="J712">
        <v>523.21199999999999</v>
      </c>
      <c r="K712">
        <v>7.39</v>
      </c>
      <c r="L712">
        <v>816</v>
      </c>
      <c r="M712" t="s">
        <v>26</v>
      </c>
      <c r="N712">
        <v>35208</v>
      </c>
    </row>
    <row r="713" spans="1:14" x14ac:dyDescent="0.3">
      <c r="A713">
        <v>2013</v>
      </c>
      <c r="B713" t="s">
        <v>1264</v>
      </c>
      <c r="C713" t="s">
        <v>275</v>
      </c>
      <c r="D713" t="s">
        <v>22</v>
      </c>
      <c r="E713" t="s">
        <v>23</v>
      </c>
      <c r="F713">
        <v>3.82</v>
      </c>
      <c r="G713">
        <v>62231</v>
      </c>
      <c r="H713" t="s">
        <v>18</v>
      </c>
      <c r="I713">
        <v>470.82</v>
      </c>
      <c r="J713">
        <v>282.49200000000002</v>
      </c>
      <c r="K713">
        <v>3.99</v>
      </c>
      <c r="L713">
        <v>818</v>
      </c>
      <c r="M713" t="s">
        <v>26</v>
      </c>
      <c r="N713">
        <v>35208</v>
      </c>
    </row>
    <row r="714" spans="1:14" x14ac:dyDescent="0.3">
      <c r="A714">
        <v>2004</v>
      </c>
      <c r="B714" t="s">
        <v>1265</v>
      </c>
      <c r="C714" t="s">
        <v>1266</v>
      </c>
      <c r="D714" t="s">
        <v>22</v>
      </c>
      <c r="E714" t="s">
        <v>536</v>
      </c>
      <c r="F714">
        <v>4.2</v>
      </c>
      <c r="G714">
        <v>83085</v>
      </c>
      <c r="H714" t="s">
        <v>40</v>
      </c>
      <c r="I714">
        <v>824.82</v>
      </c>
      <c r="J714">
        <v>494.892</v>
      </c>
      <c r="K714">
        <v>6.99</v>
      </c>
      <c r="L714">
        <v>818</v>
      </c>
      <c r="M714" t="s">
        <v>45</v>
      </c>
      <c r="N714">
        <v>34992</v>
      </c>
    </row>
    <row r="715" spans="1:14" x14ac:dyDescent="0.3">
      <c r="A715">
        <v>2009</v>
      </c>
      <c r="B715" t="s">
        <v>1267</v>
      </c>
      <c r="C715" t="s">
        <v>1268</v>
      </c>
      <c r="D715" t="s">
        <v>22</v>
      </c>
      <c r="E715" t="s">
        <v>23</v>
      </c>
      <c r="F715">
        <v>3.98</v>
      </c>
      <c r="G715">
        <v>87665</v>
      </c>
      <c r="H715" t="s">
        <v>18</v>
      </c>
      <c r="I715">
        <v>352.82</v>
      </c>
      <c r="J715">
        <v>0</v>
      </c>
      <c r="K715">
        <v>2.99</v>
      </c>
      <c r="L715">
        <v>819</v>
      </c>
      <c r="M715" t="s">
        <v>26</v>
      </c>
      <c r="N715">
        <v>34992</v>
      </c>
    </row>
    <row r="716" spans="1:14" x14ac:dyDescent="0.3">
      <c r="A716">
        <v>2000</v>
      </c>
      <c r="B716" t="s">
        <v>1269</v>
      </c>
      <c r="C716" t="s">
        <v>158</v>
      </c>
      <c r="D716" t="s">
        <v>22</v>
      </c>
      <c r="E716" t="s">
        <v>23</v>
      </c>
      <c r="F716">
        <v>3.71</v>
      </c>
      <c r="G716">
        <v>69351</v>
      </c>
      <c r="H716" t="s">
        <v>29</v>
      </c>
      <c r="I716">
        <v>942.82</v>
      </c>
      <c r="J716">
        <v>565.69200000000001</v>
      </c>
      <c r="K716">
        <v>7.99</v>
      </c>
      <c r="L716">
        <v>820</v>
      </c>
      <c r="M716" t="s">
        <v>33</v>
      </c>
      <c r="N716">
        <v>34992</v>
      </c>
    </row>
    <row r="717" spans="1:14" x14ac:dyDescent="0.3">
      <c r="A717">
        <v>1997</v>
      </c>
      <c r="B717" t="s">
        <v>1270</v>
      </c>
      <c r="C717" t="s">
        <v>162</v>
      </c>
      <c r="D717" t="s">
        <v>22</v>
      </c>
      <c r="E717" t="s">
        <v>536</v>
      </c>
      <c r="F717">
        <v>4.18</v>
      </c>
      <c r="G717">
        <v>67125</v>
      </c>
      <c r="H717" t="s">
        <v>18</v>
      </c>
      <c r="I717">
        <v>470.82</v>
      </c>
      <c r="J717">
        <v>0</v>
      </c>
      <c r="K717">
        <v>3.99</v>
      </c>
      <c r="L717">
        <v>821</v>
      </c>
      <c r="M717" t="s">
        <v>26</v>
      </c>
      <c r="N717">
        <v>34776</v>
      </c>
    </row>
    <row r="718" spans="1:14" x14ac:dyDescent="0.3">
      <c r="A718">
        <v>1967</v>
      </c>
      <c r="B718" t="s">
        <v>1271</v>
      </c>
      <c r="C718" t="s">
        <v>1272</v>
      </c>
      <c r="D718" t="s">
        <v>22</v>
      </c>
      <c r="E718" t="s">
        <v>23</v>
      </c>
      <c r="F718">
        <v>3.96</v>
      </c>
      <c r="G718">
        <v>78766</v>
      </c>
      <c r="H718" t="s">
        <v>18</v>
      </c>
      <c r="I718">
        <v>588.82000000000005</v>
      </c>
      <c r="J718">
        <v>0</v>
      </c>
      <c r="K718">
        <v>4.99</v>
      </c>
      <c r="L718">
        <v>823</v>
      </c>
      <c r="M718" t="s">
        <v>26</v>
      </c>
      <c r="N718">
        <v>34776</v>
      </c>
    </row>
    <row r="719" spans="1:14" x14ac:dyDescent="0.3">
      <c r="A719">
        <v>1984</v>
      </c>
      <c r="B719" t="s">
        <v>1273</v>
      </c>
      <c r="C719" t="s">
        <v>1274</v>
      </c>
      <c r="D719" t="s">
        <v>16</v>
      </c>
      <c r="E719" t="s">
        <v>536</v>
      </c>
      <c r="F719">
        <v>4.12</v>
      </c>
      <c r="G719">
        <v>79508</v>
      </c>
      <c r="H719" t="s">
        <v>40</v>
      </c>
      <c r="I719">
        <v>234.82</v>
      </c>
      <c r="J719">
        <v>140.892</v>
      </c>
      <c r="K719">
        <v>1.99</v>
      </c>
      <c r="L719">
        <v>823</v>
      </c>
      <c r="M719" t="s">
        <v>26</v>
      </c>
      <c r="N719">
        <v>34776</v>
      </c>
    </row>
    <row r="720" spans="1:14" x14ac:dyDescent="0.3">
      <c r="A720">
        <v>1998</v>
      </c>
      <c r="B720" t="s">
        <v>1275</v>
      </c>
      <c r="C720" t="s">
        <v>378</v>
      </c>
      <c r="D720" t="s">
        <v>22</v>
      </c>
      <c r="E720" t="s">
        <v>23</v>
      </c>
      <c r="F720">
        <v>3.9</v>
      </c>
      <c r="G720">
        <v>74815</v>
      </c>
      <c r="H720" t="s">
        <v>18</v>
      </c>
      <c r="I720">
        <v>234.82</v>
      </c>
      <c r="J720">
        <v>140.892</v>
      </c>
      <c r="K720">
        <v>1.99</v>
      </c>
      <c r="L720">
        <v>824</v>
      </c>
      <c r="M720" t="s">
        <v>26</v>
      </c>
      <c r="N720">
        <v>34560</v>
      </c>
    </row>
    <row r="721" spans="1:14" x14ac:dyDescent="0.3">
      <c r="A721">
        <v>1958</v>
      </c>
      <c r="B721" t="s">
        <v>1276</v>
      </c>
      <c r="C721" t="s">
        <v>1277</v>
      </c>
      <c r="D721" t="s">
        <v>16</v>
      </c>
      <c r="E721" t="s">
        <v>23</v>
      </c>
      <c r="F721">
        <v>3.94</v>
      </c>
      <c r="G721">
        <v>62454</v>
      </c>
      <c r="H721" t="s">
        <v>612</v>
      </c>
      <c r="I721">
        <v>725.7</v>
      </c>
      <c r="J721">
        <v>435.42</v>
      </c>
      <c r="K721">
        <v>6.15</v>
      </c>
      <c r="L721">
        <v>825</v>
      </c>
      <c r="M721" t="s">
        <v>26</v>
      </c>
      <c r="N721">
        <v>34560</v>
      </c>
    </row>
    <row r="722" spans="1:14" x14ac:dyDescent="0.3">
      <c r="A722">
        <v>2010</v>
      </c>
      <c r="B722" t="s">
        <v>1278</v>
      </c>
      <c r="C722" t="s">
        <v>666</v>
      </c>
      <c r="D722" t="s">
        <v>92</v>
      </c>
      <c r="E722" t="s">
        <v>536</v>
      </c>
      <c r="F722">
        <v>4.21</v>
      </c>
      <c r="G722">
        <v>92922</v>
      </c>
      <c r="H722" t="s">
        <v>18</v>
      </c>
      <c r="I722">
        <v>466.83</v>
      </c>
      <c r="J722">
        <v>0</v>
      </c>
      <c r="K722">
        <v>3.99</v>
      </c>
      <c r="L722">
        <v>826</v>
      </c>
      <c r="M722" t="s">
        <v>26</v>
      </c>
      <c r="N722">
        <v>34560</v>
      </c>
    </row>
    <row r="723" spans="1:14" x14ac:dyDescent="0.3">
      <c r="A723">
        <v>2012</v>
      </c>
      <c r="B723" t="s">
        <v>1279</v>
      </c>
      <c r="C723" t="s">
        <v>1280</v>
      </c>
      <c r="D723" t="s">
        <v>16</v>
      </c>
      <c r="E723" t="s">
        <v>23</v>
      </c>
      <c r="F723">
        <v>3.97</v>
      </c>
      <c r="G723">
        <v>69596</v>
      </c>
      <c r="H723" t="s">
        <v>29</v>
      </c>
      <c r="I723">
        <v>934.83</v>
      </c>
      <c r="J723">
        <v>560.89800000000002</v>
      </c>
      <c r="K723">
        <v>7.99</v>
      </c>
      <c r="L723">
        <v>827</v>
      </c>
      <c r="M723" t="s">
        <v>45</v>
      </c>
      <c r="N723">
        <v>34344</v>
      </c>
    </row>
    <row r="724" spans="1:14" x14ac:dyDescent="0.3">
      <c r="A724">
        <v>1934</v>
      </c>
      <c r="B724" t="s">
        <v>1281</v>
      </c>
      <c r="C724" t="s">
        <v>1282</v>
      </c>
      <c r="D724" t="s">
        <v>16</v>
      </c>
      <c r="E724" t="s">
        <v>536</v>
      </c>
      <c r="F724">
        <v>4.05</v>
      </c>
      <c r="G724">
        <v>82706</v>
      </c>
      <c r="H724" t="s">
        <v>18</v>
      </c>
      <c r="I724">
        <v>349.83</v>
      </c>
      <c r="J724">
        <v>209.898</v>
      </c>
      <c r="K724">
        <v>2.99</v>
      </c>
      <c r="L724">
        <v>830</v>
      </c>
      <c r="M724" t="s">
        <v>26</v>
      </c>
      <c r="N724">
        <v>34128</v>
      </c>
    </row>
    <row r="725" spans="1:14" x14ac:dyDescent="0.3">
      <c r="A725">
        <v>2007</v>
      </c>
      <c r="B725" t="s">
        <v>1283</v>
      </c>
      <c r="C725" t="s">
        <v>423</v>
      </c>
      <c r="D725" t="s">
        <v>22</v>
      </c>
      <c r="E725" t="s">
        <v>536</v>
      </c>
      <c r="F725">
        <v>4.2300000000000004</v>
      </c>
      <c r="G725">
        <v>68255</v>
      </c>
      <c r="H725" t="s">
        <v>18</v>
      </c>
      <c r="I725">
        <v>349.83</v>
      </c>
      <c r="J725">
        <v>209.898</v>
      </c>
      <c r="K725">
        <v>2.99</v>
      </c>
      <c r="L725">
        <v>831</v>
      </c>
      <c r="M725" t="s">
        <v>26</v>
      </c>
      <c r="N725">
        <v>34128</v>
      </c>
    </row>
    <row r="726" spans="1:14" x14ac:dyDescent="0.3">
      <c r="A726">
        <v>1984</v>
      </c>
      <c r="B726" t="s">
        <v>1284</v>
      </c>
      <c r="C726" t="s">
        <v>1285</v>
      </c>
      <c r="D726" t="s">
        <v>22</v>
      </c>
      <c r="E726" t="s">
        <v>23</v>
      </c>
      <c r="F726">
        <v>3.57</v>
      </c>
      <c r="G726">
        <v>81579</v>
      </c>
      <c r="H726" t="s">
        <v>18</v>
      </c>
      <c r="I726">
        <v>115.83</v>
      </c>
      <c r="J726">
        <v>0</v>
      </c>
      <c r="K726">
        <v>0.99</v>
      </c>
      <c r="L726">
        <v>832</v>
      </c>
      <c r="M726" t="s">
        <v>26</v>
      </c>
      <c r="N726">
        <v>34128</v>
      </c>
    </row>
    <row r="727" spans="1:14" x14ac:dyDescent="0.3">
      <c r="A727">
        <v>2008</v>
      </c>
      <c r="B727" t="s">
        <v>1286</v>
      </c>
      <c r="C727" t="s">
        <v>1287</v>
      </c>
      <c r="D727" t="s">
        <v>92</v>
      </c>
      <c r="E727" t="s">
        <v>536</v>
      </c>
      <c r="F727">
        <v>4.28</v>
      </c>
      <c r="G727">
        <v>68063</v>
      </c>
      <c r="H727" t="s">
        <v>18</v>
      </c>
      <c r="I727">
        <v>232.83</v>
      </c>
      <c r="J727">
        <v>139.69800000000001</v>
      </c>
      <c r="K727">
        <v>1.99</v>
      </c>
      <c r="L727">
        <v>832</v>
      </c>
      <c r="M727" t="s">
        <v>19</v>
      </c>
      <c r="N727">
        <v>34128</v>
      </c>
    </row>
    <row r="728" spans="1:14" x14ac:dyDescent="0.3">
      <c r="A728">
        <v>2007</v>
      </c>
      <c r="B728" t="s">
        <v>1288</v>
      </c>
      <c r="C728" t="s">
        <v>1289</v>
      </c>
      <c r="D728" t="s">
        <v>22</v>
      </c>
      <c r="E728" t="s">
        <v>536</v>
      </c>
      <c r="F728">
        <v>4.18</v>
      </c>
      <c r="G728">
        <v>106608</v>
      </c>
      <c r="H728" t="s">
        <v>18</v>
      </c>
      <c r="I728">
        <v>232.83</v>
      </c>
      <c r="J728">
        <v>139.69800000000001</v>
      </c>
      <c r="K728">
        <v>1.99</v>
      </c>
      <c r="L728">
        <v>834</v>
      </c>
      <c r="M728" t="s">
        <v>26</v>
      </c>
      <c r="N728">
        <v>33912</v>
      </c>
    </row>
    <row r="729" spans="1:14" x14ac:dyDescent="0.3">
      <c r="A729">
        <v>1980</v>
      </c>
      <c r="B729" t="s">
        <v>1290</v>
      </c>
      <c r="C729" t="s">
        <v>1291</v>
      </c>
      <c r="D729" t="s">
        <v>22</v>
      </c>
      <c r="E729" t="s">
        <v>23</v>
      </c>
      <c r="F729">
        <v>3.94</v>
      </c>
      <c r="G729">
        <v>82458</v>
      </c>
      <c r="H729" t="s">
        <v>18</v>
      </c>
      <c r="I729">
        <v>855.27</v>
      </c>
      <c r="J729">
        <v>513.16200000000003</v>
      </c>
      <c r="K729">
        <v>7.31</v>
      </c>
      <c r="L729">
        <v>836</v>
      </c>
      <c r="M729" t="s">
        <v>45</v>
      </c>
      <c r="N729">
        <v>33696</v>
      </c>
    </row>
    <row r="730" spans="1:14" x14ac:dyDescent="0.3">
      <c r="A730">
        <v>2003</v>
      </c>
      <c r="B730" t="s">
        <v>1292</v>
      </c>
      <c r="C730" t="s">
        <v>425</v>
      </c>
      <c r="D730" t="s">
        <v>16</v>
      </c>
      <c r="E730" t="s">
        <v>536</v>
      </c>
      <c r="F730">
        <v>4.29</v>
      </c>
      <c r="G730">
        <v>80740</v>
      </c>
      <c r="H730" t="s">
        <v>40</v>
      </c>
      <c r="I730">
        <v>1519.83</v>
      </c>
      <c r="J730">
        <v>911.89800000000002</v>
      </c>
      <c r="K730">
        <v>12.99</v>
      </c>
      <c r="L730">
        <v>836</v>
      </c>
      <c r="M730" t="s">
        <v>26</v>
      </c>
      <c r="N730">
        <v>33696</v>
      </c>
    </row>
    <row r="731" spans="1:14" x14ac:dyDescent="0.3">
      <c r="A731">
        <v>2002</v>
      </c>
      <c r="B731" t="s">
        <v>1293</v>
      </c>
      <c r="C731" t="s">
        <v>1294</v>
      </c>
      <c r="D731" t="s">
        <v>22</v>
      </c>
      <c r="E731" t="s">
        <v>23</v>
      </c>
      <c r="F731">
        <v>3.82</v>
      </c>
      <c r="G731">
        <v>68676</v>
      </c>
      <c r="H731" t="s">
        <v>18</v>
      </c>
      <c r="I731">
        <v>466.83</v>
      </c>
      <c r="J731">
        <v>0</v>
      </c>
      <c r="K731">
        <v>3.99</v>
      </c>
      <c r="L731">
        <v>837</v>
      </c>
      <c r="M731" t="s">
        <v>26</v>
      </c>
      <c r="N731">
        <v>33480</v>
      </c>
    </row>
    <row r="732" spans="1:14" x14ac:dyDescent="0.3">
      <c r="A732">
        <v>1987</v>
      </c>
      <c r="B732" t="s">
        <v>1295</v>
      </c>
      <c r="C732" t="s">
        <v>73</v>
      </c>
      <c r="D732" t="s">
        <v>22</v>
      </c>
      <c r="E732" t="s">
        <v>23</v>
      </c>
      <c r="F732">
        <v>3.92</v>
      </c>
      <c r="G732">
        <v>72714</v>
      </c>
      <c r="H732" t="s">
        <v>40</v>
      </c>
      <c r="I732">
        <v>700.83</v>
      </c>
      <c r="J732">
        <v>420.49799999999999</v>
      </c>
      <c r="K732">
        <v>5.99</v>
      </c>
      <c r="L732">
        <v>837</v>
      </c>
      <c r="M732" t="s">
        <v>19</v>
      </c>
      <c r="N732">
        <v>33264</v>
      </c>
    </row>
    <row r="733" spans="1:14" x14ac:dyDescent="0.3">
      <c r="A733">
        <v>1976</v>
      </c>
      <c r="B733" t="s">
        <v>1296</v>
      </c>
      <c r="C733" t="s">
        <v>1045</v>
      </c>
      <c r="D733" t="s">
        <v>22</v>
      </c>
      <c r="E733" t="s">
        <v>23</v>
      </c>
      <c r="F733">
        <v>3.9</v>
      </c>
      <c r="G733">
        <v>74133</v>
      </c>
      <c r="H733" t="s">
        <v>18</v>
      </c>
      <c r="I733">
        <v>115.83</v>
      </c>
      <c r="J733">
        <v>0</v>
      </c>
      <c r="K733">
        <v>0.99</v>
      </c>
      <c r="L733">
        <v>838</v>
      </c>
      <c r="M733" t="s">
        <v>26</v>
      </c>
      <c r="N733">
        <v>33264</v>
      </c>
    </row>
    <row r="734" spans="1:14" x14ac:dyDescent="0.3">
      <c r="A734">
        <v>2011</v>
      </c>
      <c r="B734" t="s">
        <v>1297</v>
      </c>
      <c r="C734" t="s">
        <v>1298</v>
      </c>
      <c r="D734" t="s">
        <v>22</v>
      </c>
      <c r="E734" t="s">
        <v>536</v>
      </c>
      <c r="F734">
        <v>4.2</v>
      </c>
      <c r="G734">
        <v>68416</v>
      </c>
      <c r="H734" t="s">
        <v>40</v>
      </c>
      <c r="I734">
        <v>1689.48</v>
      </c>
      <c r="J734">
        <v>1013.688</v>
      </c>
      <c r="K734">
        <v>14.44</v>
      </c>
      <c r="L734">
        <v>840</v>
      </c>
      <c r="M734" t="s">
        <v>19</v>
      </c>
      <c r="N734">
        <v>33048</v>
      </c>
    </row>
    <row r="735" spans="1:14" x14ac:dyDescent="0.3">
      <c r="A735">
        <v>2015</v>
      </c>
      <c r="B735" t="s">
        <v>1299</v>
      </c>
      <c r="C735" t="s">
        <v>432</v>
      </c>
      <c r="D735" t="s">
        <v>22</v>
      </c>
      <c r="E735" t="s">
        <v>52</v>
      </c>
      <c r="F735">
        <v>4.5999999999999996</v>
      </c>
      <c r="G735">
        <v>99067</v>
      </c>
      <c r="H735" t="s">
        <v>18</v>
      </c>
      <c r="I735">
        <v>349.83</v>
      </c>
      <c r="J735">
        <v>209.898</v>
      </c>
      <c r="K735">
        <v>2.99</v>
      </c>
      <c r="L735">
        <v>841</v>
      </c>
      <c r="M735" t="s">
        <v>133</v>
      </c>
      <c r="N735">
        <v>33048</v>
      </c>
    </row>
    <row r="736" spans="1:14" x14ac:dyDescent="0.3">
      <c r="A736">
        <v>1991</v>
      </c>
      <c r="B736" t="s">
        <v>1300</v>
      </c>
      <c r="C736" t="s">
        <v>1301</v>
      </c>
      <c r="D736" t="s">
        <v>22</v>
      </c>
      <c r="E736" t="s">
        <v>52</v>
      </c>
      <c r="F736">
        <v>4.41</v>
      </c>
      <c r="G736">
        <v>90147</v>
      </c>
      <c r="H736" t="s">
        <v>40</v>
      </c>
      <c r="I736">
        <v>583.83000000000004</v>
      </c>
      <c r="J736">
        <v>350.298</v>
      </c>
      <c r="K736">
        <v>4.99</v>
      </c>
      <c r="L736">
        <v>842</v>
      </c>
      <c r="M736" t="s">
        <v>30</v>
      </c>
      <c r="N736">
        <v>32832</v>
      </c>
    </row>
    <row r="737" spans="1:14" x14ac:dyDescent="0.3">
      <c r="A737">
        <v>1962</v>
      </c>
      <c r="B737" t="s">
        <v>1302</v>
      </c>
      <c r="C737" t="s">
        <v>1303</v>
      </c>
      <c r="D737" t="s">
        <v>22</v>
      </c>
      <c r="E737" t="s">
        <v>536</v>
      </c>
      <c r="F737">
        <v>4.13</v>
      </c>
      <c r="G737">
        <v>81914</v>
      </c>
      <c r="H737" t="s">
        <v>18</v>
      </c>
      <c r="I737">
        <v>1170</v>
      </c>
      <c r="J737">
        <v>702</v>
      </c>
      <c r="K737">
        <v>10</v>
      </c>
      <c r="L737">
        <v>843</v>
      </c>
      <c r="M737" t="s">
        <v>26</v>
      </c>
      <c r="N737">
        <v>32832</v>
      </c>
    </row>
    <row r="738" spans="1:14" x14ac:dyDescent="0.3">
      <c r="A738">
        <v>2003</v>
      </c>
      <c r="B738" t="s">
        <v>1304</v>
      </c>
      <c r="C738" t="s">
        <v>719</v>
      </c>
      <c r="D738" t="s">
        <v>22</v>
      </c>
      <c r="E738" t="s">
        <v>536</v>
      </c>
      <c r="F738">
        <v>4.16</v>
      </c>
      <c r="G738">
        <v>86963</v>
      </c>
      <c r="H738" t="s">
        <v>18</v>
      </c>
      <c r="I738">
        <v>1402.83</v>
      </c>
      <c r="J738">
        <v>841.69799999999998</v>
      </c>
      <c r="K738">
        <v>11.99</v>
      </c>
      <c r="L738">
        <v>844</v>
      </c>
      <c r="M738" t="s">
        <v>33</v>
      </c>
      <c r="N738">
        <v>32832</v>
      </c>
    </row>
    <row r="739" spans="1:14" x14ac:dyDescent="0.3">
      <c r="A739">
        <v>2012</v>
      </c>
      <c r="B739" t="s">
        <v>1305</v>
      </c>
      <c r="C739" t="s">
        <v>248</v>
      </c>
      <c r="D739" t="s">
        <v>16</v>
      </c>
      <c r="E739" t="s">
        <v>23</v>
      </c>
      <c r="F739">
        <v>3.86</v>
      </c>
      <c r="G739">
        <v>68224</v>
      </c>
      <c r="H739" t="s">
        <v>40</v>
      </c>
      <c r="I739">
        <v>115.83</v>
      </c>
      <c r="J739">
        <v>0</v>
      </c>
      <c r="K739">
        <v>0.99</v>
      </c>
      <c r="L739">
        <v>845</v>
      </c>
      <c r="M739" t="s">
        <v>26</v>
      </c>
      <c r="N739">
        <v>32616</v>
      </c>
    </row>
    <row r="740" spans="1:14" x14ac:dyDescent="0.3">
      <c r="A740">
        <v>1994</v>
      </c>
      <c r="B740" t="s">
        <v>1306</v>
      </c>
      <c r="C740" t="s">
        <v>1307</v>
      </c>
      <c r="D740" t="s">
        <v>22</v>
      </c>
      <c r="E740" t="s">
        <v>536</v>
      </c>
      <c r="F740">
        <v>4.0999999999999996</v>
      </c>
      <c r="G740">
        <v>72207</v>
      </c>
      <c r="H740" t="s">
        <v>18</v>
      </c>
      <c r="I740">
        <v>349.83</v>
      </c>
      <c r="J740">
        <v>0</v>
      </c>
      <c r="K740">
        <v>2.99</v>
      </c>
      <c r="L740">
        <v>846</v>
      </c>
      <c r="M740" t="s">
        <v>26</v>
      </c>
      <c r="N740">
        <v>32616</v>
      </c>
    </row>
    <row r="741" spans="1:14" x14ac:dyDescent="0.3">
      <c r="A741">
        <v>1999</v>
      </c>
      <c r="B741" t="s">
        <v>1308</v>
      </c>
      <c r="C741" t="s">
        <v>1005</v>
      </c>
      <c r="D741" t="s">
        <v>22</v>
      </c>
      <c r="E741" t="s">
        <v>23</v>
      </c>
      <c r="F741">
        <v>3.82</v>
      </c>
      <c r="G741">
        <v>62229</v>
      </c>
      <c r="H741" t="s">
        <v>18</v>
      </c>
      <c r="I741">
        <v>1084.5899999999999</v>
      </c>
      <c r="J741">
        <v>650.75400000000002</v>
      </c>
      <c r="K741">
        <v>9.27</v>
      </c>
      <c r="L741">
        <v>846</v>
      </c>
      <c r="M741" t="s">
        <v>33</v>
      </c>
      <c r="N741">
        <v>32616</v>
      </c>
    </row>
    <row r="742" spans="1:14" x14ac:dyDescent="0.3">
      <c r="A742">
        <v>2012</v>
      </c>
      <c r="B742" t="s">
        <v>1309</v>
      </c>
      <c r="C742" t="s">
        <v>1310</v>
      </c>
      <c r="D742" t="s">
        <v>22</v>
      </c>
      <c r="E742" t="s">
        <v>23</v>
      </c>
      <c r="F742">
        <v>3.81</v>
      </c>
      <c r="G742">
        <v>61135</v>
      </c>
      <c r="H742" t="s">
        <v>40</v>
      </c>
      <c r="I742">
        <v>232.83</v>
      </c>
      <c r="J742">
        <v>139.69800000000001</v>
      </c>
      <c r="K742">
        <v>1.99</v>
      </c>
      <c r="L742">
        <v>848</v>
      </c>
      <c r="M742" t="s">
        <v>26</v>
      </c>
      <c r="N742">
        <v>32400</v>
      </c>
    </row>
    <row r="743" spans="1:14" x14ac:dyDescent="0.3">
      <c r="A743">
        <v>2003</v>
      </c>
      <c r="B743" t="s">
        <v>1311</v>
      </c>
      <c r="C743" t="s">
        <v>1312</v>
      </c>
      <c r="D743" t="s">
        <v>16</v>
      </c>
      <c r="E743" t="s">
        <v>23</v>
      </c>
      <c r="F743">
        <v>3.86</v>
      </c>
      <c r="G743">
        <v>79117</v>
      </c>
      <c r="H743" t="s">
        <v>18</v>
      </c>
      <c r="I743">
        <v>466.83</v>
      </c>
      <c r="J743">
        <v>0</v>
      </c>
      <c r="K743">
        <v>3.99</v>
      </c>
      <c r="L743">
        <v>852</v>
      </c>
      <c r="M743" t="s">
        <v>26</v>
      </c>
      <c r="N743">
        <v>32184</v>
      </c>
    </row>
    <row r="744" spans="1:14" x14ac:dyDescent="0.3">
      <c r="A744">
        <v>2004</v>
      </c>
      <c r="B744" t="s">
        <v>1313</v>
      </c>
      <c r="C744" t="s">
        <v>1314</v>
      </c>
      <c r="D744" t="s">
        <v>16</v>
      </c>
      <c r="E744" t="s">
        <v>536</v>
      </c>
      <c r="F744">
        <v>4.04</v>
      </c>
      <c r="G744">
        <v>91390</v>
      </c>
      <c r="H744" t="s">
        <v>40</v>
      </c>
      <c r="I744">
        <v>349.83</v>
      </c>
      <c r="J744">
        <v>0</v>
      </c>
      <c r="K744">
        <v>2.99</v>
      </c>
      <c r="L744">
        <v>852</v>
      </c>
      <c r="M744" t="s">
        <v>26</v>
      </c>
      <c r="N744">
        <v>32184</v>
      </c>
    </row>
    <row r="745" spans="1:14" x14ac:dyDescent="0.3">
      <c r="A745">
        <v>1986</v>
      </c>
      <c r="B745" t="s">
        <v>1315</v>
      </c>
      <c r="C745" t="s">
        <v>1316</v>
      </c>
      <c r="D745" t="s">
        <v>16</v>
      </c>
      <c r="E745" t="s">
        <v>536</v>
      </c>
      <c r="F745">
        <v>4.3600000000000003</v>
      </c>
      <c r="G745">
        <v>81553</v>
      </c>
      <c r="H745" t="s">
        <v>18</v>
      </c>
      <c r="I745">
        <v>466.83</v>
      </c>
      <c r="J745">
        <v>0</v>
      </c>
      <c r="K745">
        <v>3.99</v>
      </c>
      <c r="L745">
        <v>853</v>
      </c>
      <c r="M745" t="s">
        <v>26</v>
      </c>
      <c r="N745">
        <v>32184</v>
      </c>
    </row>
    <row r="746" spans="1:14" x14ac:dyDescent="0.3">
      <c r="A746">
        <v>2009</v>
      </c>
      <c r="B746" t="s">
        <v>1315</v>
      </c>
      <c r="C746" t="s">
        <v>75</v>
      </c>
      <c r="D746" t="s">
        <v>22</v>
      </c>
      <c r="E746" t="s">
        <v>52</v>
      </c>
      <c r="F746">
        <v>4.42</v>
      </c>
      <c r="G746">
        <v>68854</v>
      </c>
      <c r="H746" t="s">
        <v>18</v>
      </c>
      <c r="I746">
        <v>1391.13</v>
      </c>
      <c r="J746">
        <v>834.678</v>
      </c>
      <c r="K746">
        <v>11.89</v>
      </c>
      <c r="L746">
        <v>854</v>
      </c>
      <c r="M746" t="s">
        <v>65</v>
      </c>
      <c r="N746">
        <v>32184</v>
      </c>
    </row>
    <row r="747" spans="1:14" x14ac:dyDescent="0.3">
      <c r="A747">
        <v>2011</v>
      </c>
      <c r="B747" t="s">
        <v>1317</v>
      </c>
      <c r="C747" t="s">
        <v>1318</v>
      </c>
      <c r="D747" t="s">
        <v>16</v>
      </c>
      <c r="E747" t="s">
        <v>536</v>
      </c>
      <c r="F747">
        <v>4.0599999999999996</v>
      </c>
      <c r="G747">
        <v>99942</v>
      </c>
      <c r="H747" t="s">
        <v>18</v>
      </c>
      <c r="I747">
        <v>232.83</v>
      </c>
      <c r="J747">
        <v>139.69800000000001</v>
      </c>
      <c r="K747">
        <v>1.99</v>
      </c>
      <c r="L747">
        <v>857</v>
      </c>
      <c r="M747" t="s">
        <v>30</v>
      </c>
      <c r="N747">
        <v>31968</v>
      </c>
    </row>
    <row r="748" spans="1:14" x14ac:dyDescent="0.3">
      <c r="A748">
        <v>1988</v>
      </c>
      <c r="B748" t="s">
        <v>1319</v>
      </c>
      <c r="C748" t="s">
        <v>1320</v>
      </c>
      <c r="D748" t="s">
        <v>16</v>
      </c>
      <c r="E748" t="s">
        <v>536</v>
      </c>
      <c r="F748">
        <v>4.0999999999999996</v>
      </c>
      <c r="G748">
        <v>67128</v>
      </c>
      <c r="H748" t="s">
        <v>18</v>
      </c>
      <c r="I748">
        <v>799.11</v>
      </c>
      <c r="J748">
        <v>479.46600000000001</v>
      </c>
      <c r="K748">
        <v>6.83</v>
      </c>
      <c r="L748">
        <v>859</v>
      </c>
      <c r="M748" t="s">
        <v>133</v>
      </c>
      <c r="N748">
        <v>31752</v>
      </c>
    </row>
    <row r="749" spans="1:14" x14ac:dyDescent="0.3">
      <c r="A749">
        <v>2005</v>
      </c>
      <c r="B749" t="s">
        <v>1321</v>
      </c>
      <c r="C749" t="s">
        <v>378</v>
      </c>
      <c r="D749" t="s">
        <v>16</v>
      </c>
      <c r="E749" t="s">
        <v>536</v>
      </c>
      <c r="F749">
        <v>4.12</v>
      </c>
      <c r="G749">
        <v>71379</v>
      </c>
      <c r="H749" t="s">
        <v>18</v>
      </c>
      <c r="I749">
        <v>349.83</v>
      </c>
      <c r="J749">
        <v>0</v>
      </c>
      <c r="K749">
        <v>2.99</v>
      </c>
      <c r="L749">
        <v>860</v>
      </c>
      <c r="M749" t="s">
        <v>26</v>
      </c>
      <c r="N749">
        <v>31752</v>
      </c>
    </row>
    <row r="750" spans="1:14" x14ac:dyDescent="0.3">
      <c r="A750">
        <v>2002</v>
      </c>
      <c r="B750" t="s">
        <v>1322</v>
      </c>
      <c r="C750" t="s">
        <v>1323</v>
      </c>
      <c r="D750" t="s">
        <v>22</v>
      </c>
      <c r="E750" t="s">
        <v>23</v>
      </c>
      <c r="F750">
        <v>3.81</v>
      </c>
      <c r="G750">
        <v>75275</v>
      </c>
      <c r="H750" t="s">
        <v>18</v>
      </c>
      <c r="I750">
        <v>583.83000000000004</v>
      </c>
      <c r="J750">
        <v>350.298</v>
      </c>
      <c r="K750">
        <v>4.99</v>
      </c>
      <c r="L750">
        <v>862</v>
      </c>
      <c r="M750" t="s">
        <v>33</v>
      </c>
      <c r="N750">
        <v>31752</v>
      </c>
    </row>
    <row r="751" spans="1:14" x14ac:dyDescent="0.3">
      <c r="A751">
        <v>-17</v>
      </c>
      <c r="B751" t="s">
        <v>1324</v>
      </c>
      <c r="C751" t="s">
        <v>1325</v>
      </c>
      <c r="D751" t="s">
        <v>22</v>
      </c>
      <c r="E751" t="s">
        <v>23</v>
      </c>
      <c r="F751">
        <v>3.81</v>
      </c>
      <c r="G751">
        <v>75051</v>
      </c>
      <c r="H751" t="s">
        <v>18</v>
      </c>
      <c r="I751">
        <v>114.84</v>
      </c>
      <c r="J751">
        <v>0</v>
      </c>
      <c r="K751">
        <v>0.99</v>
      </c>
      <c r="L751">
        <v>863</v>
      </c>
      <c r="M751" t="s">
        <v>26</v>
      </c>
      <c r="N751">
        <v>31752</v>
      </c>
    </row>
    <row r="752" spans="1:14" x14ac:dyDescent="0.3">
      <c r="A752">
        <v>2012</v>
      </c>
      <c r="B752" t="s">
        <v>1326</v>
      </c>
      <c r="C752" t="s">
        <v>1327</v>
      </c>
      <c r="D752" t="s">
        <v>22</v>
      </c>
      <c r="E752" t="s">
        <v>23</v>
      </c>
      <c r="F752">
        <v>3.75</v>
      </c>
      <c r="G752">
        <v>66720</v>
      </c>
      <c r="H752" t="s">
        <v>40</v>
      </c>
      <c r="I752">
        <v>624.08000000000004</v>
      </c>
      <c r="J752">
        <v>374.44799999999998</v>
      </c>
      <c r="K752">
        <v>5.38</v>
      </c>
      <c r="L752">
        <v>865</v>
      </c>
      <c r="M752" t="s">
        <v>26</v>
      </c>
      <c r="N752">
        <v>31536</v>
      </c>
    </row>
    <row r="753" spans="1:14" x14ac:dyDescent="0.3">
      <c r="A753">
        <v>2004</v>
      </c>
      <c r="B753" t="s">
        <v>1328</v>
      </c>
      <c r="C753" t="s">
        <v>1329</v>
      </c>
      <c r="D753" t="s">
        <v>22</v>
      </c>
      <c r="E753" t="s">
        <v>23</v>
      </c>
      <c r="F753">
        <v>3.68</v>
      </c>
      <c r="G753">
        <v>64278</v>
      </c>
      <c r="H753" t="s">
        <v>18</v>
      </c>
      <c r="I753">
        <v>694.84</v>
      </c>
      <c r="J753">
        <v>0</v>
      </c>
      <c r="K753">
        <v>5.99</v>
      </c>
      <c r="L753">
        <v>866</v>
      </c>
      <c r="M753" t="s">
        <v>26</v>
      </c>
      <c r="N753">
        <v>31536</v>
      </c>
    </row>
    <row r="754" spans="1:14" x14ac:dyDescent="0.3">
      <c r="A754">
        <v>1992</v>
      </c>
      <c r="B754" t="s">
        <v>1330</v>
      </c>
      <c r="C754" t="s">
        <v>1331</v>
      </c>
      <c r="D754" t="s">
        <v>16</v>
      </c>
      <c r="E754" t="s">
        <v>23</v>
      </c>
      <c r="F754">
        <v>3.97</v>
      </c>
      <c r="G754">
        <v>63304</v>
      </c>
      <c r="H754" t="s">
        <v>18</v>
      </c>
      <c r="I754">
        <v>892.04</v>
      </c>
      <c r="J754">
        <v>535.22400000000005</v>
      </c>
      <c r="K754">
        <v>7.69</v>
      </c>
      <c r="L754">
        <v>867</v>
      </c>
      <c r="M754" t="s">
        <v>45</v>
      </c>
      <c r="N754">
        <v>31536</v>
      </c>
    </row>
    <row r="755" spans="1:14" x14ac:dyDescent="0.3">
      <c r="A755">
        <v>2010</v>
      </c>
      <c r="B755" t="s">
        <v>1332</v>
      </c>
      <c r="C755" t="s">
        <v>568</v>
      </c>
      <c r="D755" t="s">
        <v>16</v>
      </c>
      <c r="E755" t="s">
        <v>536</v>
      </c>
      <c r="F755">
        <v>4.1399999999999997</v>
      </c>
      <c r="G755">
        <v>80367</v>
      </c>
      <c r="H755" t="s">
        <v>18</v>
      </c>
      <c r="I755">
        <v>346.84</v>
      </c>
      <c r="J755">
        <v>0</v>
      </c>
      <c r="K755">
        <v>2.99</v>
      </c>
      <c r="L755">
        <v>868</v>
      </c>
      <c r="M755" t="s">
        <v>26</v>
      </c>
      <c r="N755">
        <v>31536</v>
      </c>
    </row>
    <row r="756" spans="1:14" x14ac:dyDescent="0.3">
      <c r="A756">
        <v>2012</v>
      </c>
      <c r="B756" t="s">
        <v>1333</v>
      </c>
      <c r="C756" t="s">
        <v>1334</v>
      </c>
      <c r="D756" t="s">
        <v>22</v>
      </c>
      <c r="E756" t="s">
        <v>536</v>
      </c>
      <c r="F756">
        <v>4.08</v>
      </c>
      <c r="G756">
        <v>93818</v>
      </c>
      <c r="H756" t="s">
        <v>18</v>
      </c>
      <c r="I756">
        <v>462.84</v>
      </c>
      <c r="J756">
        <v>0</v>
      </c>
      <c r="K756">
        <v>3.99</v>
      </c>
      <c r="L756">
        <v>869</v>
      </c>
      <c r="M756" t="s">
        <v>26</v>
      </c>
      <c r="N756">
        <v>31320</v>
      </c>
    </row>
    <row r="757" spans="1:14" x14ac:dyDescent="0.3">
      <c r="A757">
        <v>2001</v>
      </c>
      <c r="B757" t="s">
        <v>1335</v>
      </c>
      <c r="C757" t="s">
        <v>1336</v>
      </c>
      <c r="D757" t="s">
        <v>22</v>
      </c>
      <c r="E757" t="s">
        <v>23</v>
      </c>
      <c r="F757">
        <v>3.85</v>
      </c>
      <c r="G757">
        <v>90908</v>
      </c>
      <c r="H757" t="s">
        <v>18</v>
      </c>
      <c r="I757">
        <v>114.84</v>
      </c>
      <c r="J757">
        <v>68.903999999999996</v>
      </c>
      <c r="K757">
        <v>0.99</v>
      </c>
      <c r="L757">
        <v>869</v>
      </c>
      <c r="M757" t="s">
        <v>45</v>
      </c>
      <c r="N757">
        <v>31320</v>
      </c>
    </row>
    <row r="758" spans="1:14" x14ac:dyDescent="0.3">
      <c r="A758">
        <v>1977</v>
      </c>
      <c r="B758" t="s">
        <v>1337</v>
      </c>
      <c r="C758" t="s">
        <v>1338</v>
      </c>
      <c r="D758" t="s">
        <v>22</v>
      </c>
      <c r="E758" t="s">
        <v>536</v>
      </c>
      <c r="F758">
        <v>4.26</v>
      </c>
      <c r="G758">
        <v>77206</v>
      </c>
      <c r="H758" t="s">
        <v>18</v>
      </c>
      <c r="I758">
        <v>1158.8399999999999</v>
      </c>
      <c r="J758">
        <v>695.30399999999997</v>
      </c>
      <c r="K758">
        <v>9.99</v>
      </c>
      <c r="L758">
        <v>871</v>
      </c>
      <c r="M758" t="s">
        <v>33</v>
      </c>
      <c r="N758">
        <v>31320</v>
      </c>
    </row>
    <row r="759" spans="1:14" x14ac:dyDescent="0.3">
      <c r="A759">
        <v>1979</v>
      </c>
      <c r="B759" t="s">
        <v>1339</v>
      </c>
      <c r="C759" t="s">
        <v>349</v>
      </c>
      <c r="D759" t="s">
        <v>22</v>
      </c>
      <c r="E759" t="s">
        <v>536</v>
      </c>
      <c r="F759">
        <v>4.1100000000000003</v>
      </c>
      <c r="G759">
        <v>71775</v>
      </c>
      <c r="H759" t="s">
        <v>40</v>
      </c>
      <c r="I759">
        <v>462.84</v>
      </c>
      <c r="J759">
        <v>277.70400000000001</v>
      </c>
      <c r="K759">
        <v>3.99</v>
      </c>
      <c r="L759">
        <v>871</v>
      </c>
      <c r="M759" t="s">
        <v>30</v>
      </c>
      <c r="N759">
        <v>31320</v>
      </c>
    </row>
    <row r="760" spans="1:14" x14ac:dyDescent="0.3">
      <c r="A760">
        <v>2001</v>
      </c>
      <c r="B760" t="s">
        <v>1340</v>
      </c>
      <c r="C760" t="s">
        <v>652</v>
      </c>
      <c r="D760" t="s">
        <v>22</v>
      </c>
      <c r="E760" t="s">
        <v>536</v>
      </c>
      <c r="F760">
        <v>4.01</v>
      </c>
      <c r="G760">
        <v>90071</v>
      </c>
      <c r="H760" t="s">
        <v>40</v>
      </c>
      <c r="I760">
        <v>230.84</v>
      </c>
      <c r="J760">
        <v>138.50399999999999</v>
      </c>
      <c r="K760">
        <v>1.99</v>
      </c>
      <c r="L760">
        <v>873</v>
      </c>
      <c r="M760" t="s">
        <v>45</v>
      </c>
      <c r="N760">
        <v>31104</v>
      </c>
    </row>
    <row r="761" spans="1:14" x14ac:dyDescent="0.3">
      <c r="A761">
        <v>2004</v>
      </c>
      <c r="B761" t="s">
        <v>1341</v>
      </c>
      <c r="C761" t="s">
        <v>621</v>
      </c>
      <c r="D761" t="s">
        <v>22</v>
      </c>
      <c r="E761" t="s">
        <v>23</v>
      </c>
      <c r="F761">
        <v>3.9</v>
      </c>
      <c r="G761">
        <v>79746</v>
      </c>
      <c r="H761" t="s">
        <v>18</v>
      </c>
      <c r="I761">
        <v>462.84</v>
      </c>
      <c r="J761">
        <v>277.70400000000001</v>
      </c>
      <c r="K761">
        <v>3.99</v>
      </c>
      <c r="L761">
        <v>877</v>
      </c>
      <c r="M761" t="s">
        <v>26</v>
      </c>
      <c r="N761">
        <v>30888</v>
      </c>
    </row>
    <row r="762" spans="1:14" x14ac:dyDescent="0.3">
      <c r="A762">
        <v>2007</v>
      </c>
      <c r="B762" t="s">
        <v>1342</v>
      </c>
      <c r="C762" t="s">
        <v>593</v>
      </c>
      <c r="D762" t="s">
        <v>22</v>
      </c>
      <c r="E762" t="s">
        <v>536</v>
      </c>
      <c r="F762">
        <v>4.3</v>
      </c>
      <c r="G762">
        <v>97830</v>
      </c>
      <c r="H762" t="s">
        <v>18</v>
      </c>
      <c r="I762">
        <v>694.84</v>
      </c>
      <c r="J762">
        <v>0</v>
      </c>
      <c r="K762">
        <v>5.99</v>
      </c>
      <c r="L762">
        <v>879</v>
      </c>
      <c r="M762" t="s">
        <v>26</v>
      </c>
      <c r="N762">
        <v>30888</v>
      </c>
    </row>
    <row r="763" spans="1:14" x14ac:dyDescent="0.3">
      <c r="A763">
        <v>2005</v>
      </c>
      <c r="B763" t="s">
        <v>1343</v>
      </c>
      <c r="C763" t="s">
        <v>1344</v>
      </c>
      <c r="D763" t="s">
        <v>22</v>
      </c>
      <c r="E763" t="s">
        <v>536</v>
      </c>
      <c r="F763">
        <v>4.25</v>
      </c>
      <c r="G763">
        <v>72797</v>
      </c>
      <c r="H763" t="s">
        <v>18</v>
      </c>
      <c r="I763">
        <v>770.24</v>
      </c>
      <c r="J763">
        <v>462.14400000000001</v>
      </c>
      <c r="K763">
        <v>6.64</v>
      </c>
      <c r="L763">
        <v>879</v>
      </c>
      <c r="M763" t="s">
        <v>30</v>
      </c>
      <c r="N763">
        <v>30672</v>
      </c>
    </row>
    <row r="764" spans="1:14" x14ac:dyDescent="0.3">
      <c r="A764">
        <v>2007</v>
      </c>
      <c r="B764" t="s">
        <v>1345</v>
      </c>
      <c r="C764" t="s">
        <v>1346</v>
      </c>
      <c r="D764" t="s">
        <v>16</v>
      </c>
      <c r="E764" t="s">
        <v>536</v>
      </c>
      <c r="F764">
        <v>4.1399999999999997</v>
      </c>
      <c r="G764">
        <v>87335</v>
      </c>
      <c r="H764" t="s">
        <v>18</v>
      </c>
      <c r="I764">
        <v>114.84</v>
      </c>
      <c r="J764">
        <v>68.903999999999996</v>
      </c>
      <c r="K764">
        <v>0.99</v>
      </c>
      <c r="L764">
        <v>881</v>
      </c>
      <c r="M764" t="s">
        <v>26</v>
      </c>
      <c r="N764">
        <v>30672</v>
      </c>
    </row>
    <row r="765" spans="1:14" x14ac:dyDescent="0.3">
      <c r="A765">
        <v>2007</v>
      </c>
      <c r="B765" t="s">
        <v>1347</v>
      </c>
      <c r="C765" t="s">
        <v>1348</v>
      </c>
      <c r="D765" t="s">
        <v>22</v>
      </c>
      <c r="E765" t="s">
        <v>23</v>
      </c>
      <c r="F765">
        <v>3.96</v>
      </c>
      <c r="G765">
        <v>64347</v>
      </c>
      <c r="H765" t="s">
        <v>612</v>
      </c>
      <c r="I765">
        <v>694.84</v>
      </c>
      <c r="J765">
        <v>416.904</v>
      </c>
      <c r="K765">
        <v>5.99</v>
      </c>
      <c r="L765">
        <v>883</v>
      </c>
      <c r="M765" t="s">
        <v>26</v>
      </c>
      <c r="N765">
        <v>30456</v>
      </c>
    </row>
    <row r="766" spans="1:14" x14ac:dyDescent="0.3">
      <c r="A766">
        <v>2013</v>
      </c>
      <c r="B766" t="s">
        <v>1349</v>
      </c>
      <c r="C766" t="s">
        <v>540</v>
      </c>
      <c r="D766" t="s">
        <v>22</v>
      </c>
      <c r="E766" t="s">
        <v>536</v>
      </c>
      <c r="F766">
        <v>4.21</v>
      </c>
      <c r="G766">
        <v>97616</v>
      </c>
      <c r="H766" t="s">
        <v>18</v>
      </c>
      <c r="I766">
        <v>114.84</v>
      </c>
      <c r="J766">
        <v>68.903999999999996</v>
      </c>
      <c r="K766">
        <v>0.99</v>
      </c>
      <c r="L766">
        <v>884</v>
      </c>
      <c r="M766" t="s">
        <v>26</v>
      </c>
      <c r="N766">
        <v>30456</v>
      </c>
    </row>
    <row r="767" spans="1:14" x14ac:dyDescent="0.3">
      <c r="A767">
        <v>2004</v>
      </c>
      <c r="B767" t="s">
        <v>1350</v>
      </c>
      <c r="C767" t="s">
        <v>113</v>
      </c>
      <c r="D767" t="s">
        <v>22</v>
      </c>
      <c r="E767" t="s">
        <v>23</v>
      </c>
      <c r="F767">
        <v>3.69</v>
      </c>
      <c r="G767">
        <v>65397</v>
      </c>
      <c r="H767" t="s">
        <v>18</v>
      </c>
      <c r="I767">
        <v>114.84</v>
      </c>
      <c r="J767">
        <v>68.903999999999996</v>
      </c>
      <c r="K767">
        <v>0.99</v>
      </c>
      <c r="L767">
        <v>885</v>
      </c>
      <c r="M767" t="s">
        <v>26</v>
      </c>
      <c r="N767">
        <v>30240</v>
      </c>
    </row>
    <row r="768" spans="1:14" x14ac:dyDescent="0.3">
      <c r="A768">
        <v>2012</v>
      </c>
      <c r="B768" t="s">
        <v>1351</v>
      </c>
      <c r="C768" t="s">
        <v>1352</v>
      </c>
      <c r="D768" t="s">
        <v>22</v>
      </c>
      <c r="E768" t="s">
        <v>23</v>
      </c>
      <c r="F768">
        <v>3.8</v>
      </c>
      <c r="G768">
        <v>89356</v>
      </c>
      <c r="H768" t="s">
        <v>18</v>
      </c>
      <c r="I768">
        <v>114.84</v>
      </c>
      <c r="J768">
        <v>0</v>
      </c>
      <c r="K768">
        <v>0.99</v>
      </c>
      <c r="L768">
        <v>886</v>
      </c>
      <c r="M768" t="s">
        <v>26</v>
      </c>
      <c r="N768">
        <v>30240</v>
      </c>
    </row>
    <row r="769" spans="1:14" x14ac:dyDescent="0.3">
      <c r="A769">
        <v>2004</v>
      </c>
      <c r="B769" t="s">
        <v>1353</v>
      </c>
      <c r="C769" t="s">
        <v>1122</v>
      </c>
      <c r="D769" t="s">
        <v>16</v>
      </c>
      <c r="E769" t="s">
        <v>536</v>
      </c>
      <c r="F769">
        <v>4.09</v>
      </c>
      <c r="G769">
        <v>69058</v>
      </c>
      <c r="H769" t="s">
        <v>40</v>
      </c>
      <c r="I769">
        <v>810.84</v>
      </c>
      <c r="J769">
        <v>486.50400000000002</v>
      </c>
      <c r="K769">
        <v>6.99</v>
      </c>
      <c r="L769">
        <v>886</v>
      </c>
      <c r="M769" t="s">
        <v>65</v>
      </c>
      <c r="N769">
        <v>29808</v>
      </c>
    </row>
    <row r="770" spans="1:14" x14ac:dyDescent="0.3">
      <c r="A770">
        <v>1980</v>
      </c>
      <c r="B770" t="s">
        <v>1354</v>
      </c>
      <c r="C770" t="s">
        <v>1355</v>
      </c>
      <c r="D770" t="s">
        <v>22</v>
      </c>
      <c r="E770" t="s">
        <v>536</v>
      </c>
      <c r="F770">
        <v>4.04</v>
      </c>
      <c r="G770">
        <v>56802</v>
      </c>
      <c r="H770" t="s">
        <v>18</v>
      </c>
      <c r="I770">
        <v>346.84</v>
      </c>
      <c r="J770">
        <v>0</v>
      </c>
      <c r="K770">
        <v>2.99</v>
      </c>
      <c r="L770">
        <v>887</v>
      </c>
      <c r="M770" t="s">
        <v>26</v>
      </c>
      <c r="N770">
        <v>29808</v>
      </c>
    </row>
    <row r="771" spans="1:14" x14ac:dyDescent="0.3">
      <c r="A771">
        <v>2004</v>
      </c>
      <c r="B771" t="s">
        <v>1356</v>
      </c>
      <c r="C771" t="s">
        <v>1357</v>
      </c>
      <c r="D771" t="s">
        <v>16</v>
      </c>
      <c r="E771" t="s">
        <v>536</v>
      </c>
      <c r="F771">
        <v>4.12</v>
      </c>
      <c r="G771">
        <v>68480</v>
      </c>
      <c r="H771" t="s">
        <v>18</v>
      </c>
      <c r="I771">
        <v>114.84</v>
      </c>
      <c r="J771">
        <v>0</v>
      </c>
      <c r="K771">
        <v>0.99</v>
      </c>
      <c r="L771">
        <v>890</v>
      </c>
      <c r="M771" t="s">
        <v>26</v>
      </c>
      <c r="N771">
        <v>29808</v>
      </c>
    </row>
    <row r="772" spans="1:14" x14ac:dyDescent="0.3">
      <c r="A772">
        <v>2005</v>
      </c>
      <c r="B772" t="s">
        <v>1358</v>
      </c>
      <c r="C772" t="s">
        <v>158</v>
      </c>
      <c r="D772" t="s">
        <v>22</v>
      </c>
      <c r="E772" t="s">
        <v>23</v>
      </c>
      <c r="F772">
        <v>3.77</v>
      </c>
      <c r="G772">
        <v>65428</v>
      </c>
      <c r="H772" t="s">
        <v>18</v>
      </c>
      <c r="I772">
        <v>114.84</v>
      </c>
      <c r="J772">
        <v>68.903999999999996</v>
      </c>
      <c r="K772">
        <v>0.99</v>
      </c>
      <c r="L772">
        <v>892</v>
      </c>
      <c r="M772" t="s">
        <v>26</v>
      </c>
      <c r="N772">
        <v>29592</v>
      </c>
    </row>
    <row r="773" spans="1:14" x14ac:dyDescent="0.3">
      <c r="A773">
        <v>2011</v>
      </c>
      <c r="B773" t="s">
        <v>1359</v>
      </c>
      <c r="C773" t="s">
        <v>1360</v>
      </c>
      <c r="D773" t="s">
        <v>22</v>
      </c>
      <c r="E773" t="s">
        <v>23</v>
      </c>
      <c r="F773">
        <v>3.78</v>
      </c>
      <c r="G773">
        <v>94176</v>
      </c>
      <c r="H773" t="s">
        <v>18</v>
      </c>
      <c r="I773">
        <v>462.84</v>
      </c>
      <c r="J773">
        <v>0</v>
      </c>
      <c r="K773">
        <v>3.99</v>
      </c>
      <c r="L773">
        <v>892</v>
      </c>
      <c r="M773" t="s">
        <v>26</v>
      </c>
      <c r="N773">
        <v>29376</v>
      </c>
    </row>
    <row r="774" spans="1:14" x14ac:dyDescent="0.3">
      <c r="A774">
        <v>1978</v>
      </c>
      <c r="B774" t="s">
        <v>1361</v>
      </c>
      <c r="C774" t="s">
        <v>1362</v>
      </c>
      <c r="D774" t="s">
        <v>16</v>
      </c>
      <c r="E774" t="s">
        <v>536</v>
      </c>
      <c r="F774">
        <v>4.03</v>
      </c>
      <c r="G774">
        <v>61238</v>
      </c>
      <c r="H774" t="s">
        <v>40</v>
      </c>
      <c r="I774">
        <v>1042.8399999999999</v>
      </c>
      <c r="J774">
        <v>625.70399999999995</v>
      </c>
      <c r="K774">
        <v>8.99</v>
      </c>
      <c r="L774">
        <v>893</v>
      </c>
      <c r="M774" t="s">
        <v>26</v>
      </c>
      <c r="N774">
        <v>29160</v>
      </c>
    </row>
    <row r="775" spans="1:14" x14ac:dyDescent="0.3">
      <c r="A775">
        <v>2004</v>
      </c>
      <c r="B775" t="s">
        <v>1363</v>
      </c>
      <c r="C775" t="s">
        <v>682</v>
      </c>
      <c r="D775" t="s">
        <v>22</v>
      </c>
      <c r="E775" t="s">
        <v>536</v>
      </c>
      <c r="F775">
        <v>4.33</v>
      </c>
      <c r="G775">
        <v>79627</v>
      </c>
      <c r="H775" t="s">
        <v>40</v>
      </c>
      <c r="I775">
        <v>1041.68</v>
      </c>
      <c r="J775">
        <v>625.00800000000004</v>
      </c>
      <c r="K775">
        <v>8.98</v>
      </c>
      <c r="L775">
        <v>894</v>
      </c>
      <c r="M775" t="s">
        <v>26</v>
      </c>
      <c r="N775">
        <v>28944</v>
      </c>
    </row>
    <row r="776" spans="1:14" x14ac:dyDescent="0.3">
      <c r="A776">
        <v>1942</v>
      </c>
      <c r="B776" t="s">
        <v>1364</v>
      </c>
      <c r="C776" t="s">
        <v>1365</v>
      </c>
      <c r="D776" t="s">
        <v>16</v>
      </c>
      <c r="E776" t="s">
        <v>536</v>
      </c>
      <c r="F776">
        <v>4.09</v>
      </c>
      <c r="G776">
        <v>92916</v>
      </c>
      <c r="H776" t="s">
        <v>18</v>
      </c>
      <c r="I776">
        <v>1506.84</v>
      </c>
      <c r="J776">
        <v>904.10400000000004</v>
      </c>
      <c r="K776">
        <v>12.99</v>
      </c>
      <c r="L776">
        <v>894</v>
      </c>
      <c r="M776" t="s">
        <v>65</v>
      </c>
      <c r="N776">
        <v>28944</v>
      </c>
    </row>
    <row r="777" spans="1:14" x14ac:dyDescent="0.3">
      <c r="A777">
        <v>2013</v>
      </c>
      <c r="B777" t="s">
        <v>1366</v>
      </c>
      <c r="C777" t="s">
        <v>1367</v>
      </c>
      <c r="D777" t="s">
        <v>22</v>
      </c>
      <c r="E777" t="s">
        <v>17</v>
      </c>
      <c r="F777">
        <v>3.3</v>
      </c>
      <c r="G777">
        <v>60323</v>
      </c>
      <c r="H777" t="s">
        <v>40</v>
      </c>
      <c r="I777">
        <v>784.16</v>
      </c>
      <c r="J777">
        <v>470.49599999999998</v>
      </c>
      <c r="K777">
        <v>6.76</v>
      </c>
      <c r="L777">
        <v>897</v>
      </c>
      <c r="M777" t="s">
        <v>26</v>
      </c>
      <c r="N777">
        <v>28728</v>
      </c>
    </row>
    <row r="778" spans="1:14" x14ac:dyDescent="0.3">
      <c r="A778">
        <v>2011</v>
      </c>
      <c r="B778" t="s">
        <v>1368</v>
      </c>
      <c r="C778" t="s">
        <v>1369</v>
      </c>
      <c r="D778" t="s">
        <v>22</v>
      </c>
      <c r="E778" t="s">
        <v>23</v>
      </c>
      <c r="F778">
        <v>3.73</v>
      </c>
      <c r="G778">
        <v>70446</v>
      </c>
      <c r="H778" t="s">
        <v>18</v>
      </c>
      <c r="I778">
        <v>346.84</v>
      </c>
      <c r="J778">
        <v>0</v>
      </c>
      <c r="K778">
        <v>2.99</v>
      </c>
      <c r="L778">
        <v>898</v>
      </c>
      <c r="M778" t="s">
        <v>26</v>
      </c>
      <c r="N778">
        <v>28512</v>
      </c>
    </row>
    <row r="779" spans="1:14" x14ac:dyDescent="0.3">
      <c r="A779">
        <v>2016</v>
      </c>
      <c r="B779" t="s">
        <v>1370</v>
      </c>
      <c r="C779" t="s">
        <v>432</v>
      </c>
      <c r="D779" t="s">
        <v>22</v>
      </c>
      <c r="E779" t="s">
        <v>52</v>
      </c>
      <c r="F779">
        <v>4.72</v>
      </c>
      <c r="G779">
        <v>108384</v>
      </c>
      <c r="H779" t="s">
        <v>18</v>
      </c>
      <c r="I779">
        <v>1158.8399999999999</v>
      </c>
      <c r="J779">
        <v>695.30399999999997</v>
      </c>
      <c r="K779">
        <v>9.99</v>
      </c>
      <c r="L779">
        <v>900</v>
      </c>
      <c r="M779" t="s">
        <v>65</v>
      </c>
      <c r="N779">
        <v>28512</v>
      </c>
    </row>
    <row r="780" spans="1:14" x14ac:dyDescent="0.3">
      <c r="A780">
        <v>2010</v>
      </c>
      <c r="B780" t="s">
        <v>1371</v>
      </c>
      <c r="C780" t="s">
        <v>1372</v>
      </c>
      <c r="D780" t="s">
        <v>92</v>
      </c>
      <c r="E780" t="s">
        <v>23</v>
      </c>
      <c r="F780">
        <v>3.84</v>
      </c>
      <c r="G780">
        <v>60409</v>
      </c>
      <c r="H780" t="s">
        <v>18</v>
      </c>
      <c r="I780">
        <v>926.84</v>
      </c>
      <c r="J780">
        <v>556.10400000000004</v>
      </c>
      <c r="K780">
        <v>7.99</v>
      </c>
      <c r="L780">
        <v>900</v>
      </c>
      <c r="M780" t="s">
        <v>45</v>
      </c>
      <c r="N780">
        <v>28512</v>
      </c>
    </row>
    <row r="781" spans="1:14" x14ac:dyDescent="0.3">
      <c r="A781">
        <v>2008</v>
      </c>
      <c r="B781" t="s">
        <v>1373</v>
      </c>
      <c r="C781" t="s">
        <v>275</v>
      </c>
      <c r="D781" t="s">
        <v>22</v>
      </c>
      <c r="E781" t="s">
        <v>536</v>
      </c>
      <c r="F781">
        <v>4.1100000000000003</v>
      </c>
      <c r="G781">
        <v>60126</v>
      </c>
      <c r="H781" t="s">
        <v>18</v>
      </c>
      <c r="I781">
        <v>458.85</v>
      </c>
      <c r="J781">
        <v>0</v>
      </c>
      <c r="K781">
        <v>3.99</v>
      </c>
      <c r="L781">
        <v>903</v>
      </c>
      <c r="M781" t="s">
        <v>26</v>
      </c>
      <c r="N781">
        <v>28296</v>
      </c>
    </row>
    <row r="782" spans="1:14" x14ac:dyDescent="0.3">
      <c r="A782">
        <v>1998</v>
      </c>
      <c r="B782" t="s">
        <v>1374</v>
      </c>
      <c r="C782" t="s">
        <v>1375</v>
      </c>
      <c r="D782" t="s">
        <v>22</v>
      </c>
      <c r="E782" t="s">
        <v>23</v>
      </c>
      <c r="F782">
        <v>3.5</v>
      </c>
      <c r="G782">
        <v>71777</v>
      </c>
      <c r="H782" t="s">
        <v>18</v>
      </c>
      <c r="I782">
        <v>1367.35</v>
      </c>
      <c r="J782">
        <v>820.41</v>
      </c>
      <c r="K782">
        <v>11.89</v>
      </c>
      <c r="L782">
        <v>904</v>
      </c>
      <c r="M782" t="s">
        <v>65</v>
      </c>
      <c r="N782">
        <v>28296</v>
      </c>
    </row>
    <row r="783" spans="1:14" x14ac:dyDescent="0.3">
      <c r="A783">
        <v>1985</v>
      </c>
      <c r="B783" t="s">
        <v>1376</v>
      </c>
      <c r="C783" t="s">
        <v>1377</v>
      </c>
      <c r="D783" t="s">
        <v>22</v>
      </c>
      <c r="E783" t="s">
        <v>23</v>
      </c>
      <c r="F783">
        <v>3.86</v>
      </c>
      <c r="G783">
        <v>55678</v>
      </c>
      <c r="H783" t="s">
        <v>18</v>
      </c>
      <c r="I783">
        <v>573.85</v>
      </c>
      <c r="J783">
        <v>0</v>
      </c>
      <c r="K783">
        <v>4.99</v>
      </c>
      <c r="L783">
        <v>905</v>
      </c>
      <c r="M783" t="s">
        <v>26</v>
      </c>
      <c r="N783">
        <v>28296</v>
      </c>
    </row>
    <row r="784" spans="1:14" x14ac:dyDescent="0.3">
      <c r="A784">
        <v>1992</v>
      </c>
      <c r="B784" t="s">
        <v>1378</v>
      </c>
      <c r="C784" t="s">
        <v>1379</v>
      </c>
      <c r="D784" t="s">
        <v>22</v>
      </c>
      <c r="E784" t="s">
        <v>52</v>
      </c>
      <c r="F784">
        <v>4.42</v>
      </c>
      <c r="G784">
        <v>66079</v>
      </c>
      <c r="H784" t="s">
        <v>18</v>
      </c>
      <c r="I784">
        <v>343.85</v>
      </c>
      <c r="J784">
        <v>0</v>
      </c>
      <c r="K784">
        <v>2.99</v>
      </c>
      <c r="L784">
        <v>907</v>
      </c>
      <c r="M784" t="s">
        <v>26</v>
      </c>
      <c r="N784">
        <v>2943</v>
      </c>
    </row>
    <row r="785" spans="1:14" x14ac:dyDescent="0.3">
      <c r="A785">
        <v>1859</v>
      </c>
      <c r="B785" t="s">
        <v>1380</v>
      </c>
      <c r="C785" t="s">
        <v>1381</v>
      </c>
      <c r="D785" t="s">
        <v>22</v>
      </c>
      <c r="E785" t="s">
        <v>23</v>
      </c>
      <c r="F785">
        <v>3.97</v>
      </c>
      <c r="G785">
        <v>64162</v>
      </c>
      <c r="H785" t="s">
        <v>18</v>
      </c>
      <c r="I785">
        <v>1033.8499999999999</v>
      </c>
      <c r="J785">
        <v>620.30999999999995</v>
      </c>
      <c r="K785">
        <v>8.99</v>
      </c>
      <c r="L785">
        <v>909</v>
      </c>
      <c r="M785" t="s">
        <v>19</v>
      </c>
      <c r="N785">
        <v>2943</v>
      </c>
    </row>
    <row r="786" spans="1:14" x14ac:dyDescent="0.3">
      <c r="A786">
        <v>2003</v>
      </c>
      <c r="B786" t="s">
        <v>1382</v>
      </c>
      <c r="C786" t="s">
        <v>1383</v>
      </c>
      <c r="D786" t="s">
        <v>22</v>
      </c>
      <c r="E786" t="s">
        <v>536</v>
      </c>
      <c r="F786">
        <v>4.0599999999999996</v>
      </c>
      <c r="G786">
        <v>70454</v>
      </c>
      <c r="H786" t="s">
        <v>18</v>
      </c>
      <c r="I786">
        <v>343.85</v>
      </c>
      <c r="J786">
        <v>0</v>
      </c>
      <c r="K786">
        <v>2.99</v>
      </c>
      <c r="L786">
        <v>909</v>
      </c>
      <c r="M786" t="s">
        <v>26</v>
      </c>
      <c r="N786">
        <v>2943</v>
      </c>
    </row>
    <row r="787" spans="1:14" x14ac:dyDescent="0.3">
      <c r="A787">
        <v>2008</v>
      </c>
      <c r="B787" t="s">
        <v>1384</v>
      </c>
      <c r="C787" t="s">
        <v>1385</v>
      </c>
      <c r="D787" t="s">
        <v>22</v>
      </c>
      <c r="E787" t="s">
        <v>23</v>
      </c>
      <c r="F787">
        <v>3.6</v>
      </c>
      <c r="G787">
        <v>70382</v>
      </c>
      <c r="H787" t="s">
        <v>40</v>
      </c>
      <c r="I787">
        <v>343.85</v>
      </c>
      <c r="J787">
        <v>0</v>
      </c>
      <c r="K787">
        <v>2.99</v>
      </c>
      <c r="L787">
        <v>910</v>
      </c>
      <c r="M787" t="s">
        <v>26</v>
      </c>
      <c r="N787">
        <v>2943</v>
      </c>
    </row>
    <row r="788" spans="1:14" x14ac:dyDescent="0.3">
      <c r="A788">
        <v>2000</v>
      </c>
      <c r="B788" t="s">
        <v>1386</v>
      </c>
      <c r="C788" t="s">
        <v>1387</v>
      </c>
      <c r="D788" t="s">
        <v>22</v>
      </c>
      <c r="E788" t="s">
        <v>23</v>
      </c>
      <c r="F788">
        <v>3.73</v>
      </c>
      <c r="G788">
        <v>67768</v>
      </c>
      <c r="H788" t="s">
        <v>18</v>
      </c>
      <c r="I788">
        <v>573.85</v>
      </c>
      <c r="J788">
        <v>0</v>
      </c>
      <c r="K788">
        <v>4.99</v>
      </c>
      <c r="L788">
        <v>911</v>
      </c>
      <c r="M788" t="s">
        <v>26</v>
      </c>
      <c r="N788">
        <v>2916</v>
      </c>
    </row>
    <row r="789" spans="1:14" x14ac:dyDescent="0.3">
      <c r="A789">
        <v>1971</v>
      </c>
      <c r="B789" t="s">
        <v>1388</v>
      </c>
      <c r="C789" t="s">
        <v>1389</v>
      </c>
      <c r="D789" t="s">
        <v>16</v>
      </c>
      <c r="E789" t="s">
        <v>536</v>
      </c>
      <c r="F789">
        <v>4.01</v>
      </c>
      <c r="G789">
        <v>59295</v>
      </c>
      <c r="H789" t="s">
        <v>40</v>
      </c>
      <c r="I789">
        <v>343.85</v>
      </c>
      <c r="J789">
        <v>206.31</v>
      </c>
      <c r="K789">
        <v>2.99</v>
      </c>
      <c r="L789">
        <v>913</v>
      </c>
      <c r="M789" t="s">
        <v>19</v>
      </c>
      <c r="N789">
        <v>2916</v>
      </c>
    </row>
    <row r="790" spans="1:14" x14ac:dyDescent="0.3">
      <c r="A790">
        <v>1992</v>
      </c>
      <c r="B790" t="s">
        <v>1390</v>
      </c>
      <c r="C790" t="s">
        <v>545</v>
      </c>
      <c r="D790" t="s">
        <v>22</v>
      </c>
      <c r="E790" t="s">
        <v>23</v>
      </c>
      <c r="F790">
        <v>3.97</v>
      </c>
      <c r="G790">
        <v>68451</v>
      </c>
      <c r="H790" t="s">
        <v>18</v>
      </c>
      <c r="I790">
        <v>458.85</v>
      </c>
      <c r="J790">
        <v>0</v>
      </c>
      <c r="K790">
        <v>3.99</v>
      </c>
      <c r="L790">
        <v>914</v>
      </c>
      <c r="M790" t="s">
        <v>26</v>
      </c>
      <c r="N790">
        <v>2916</v>
      </c>
    </row>
    <row r="791" spans="1:14" x14ac:dyDescent="0.3">
      <c r="A791">
        <v>1914</v>
      </c>
      <c r="B791" t="s">
        <v>1391</v>
      </c>
      <c r="C791" t="s">
        <v>1392</v>
      </c>
      <c r="D791" t="s">
        <v>22</v>
      </c>
      <c r="E791" t="s">
        <v>52</v>
      </c>
      <c r="F791">
        <v>4.46</v>
      </c>
      <c r="G791">
        <v>66857</v>
      </c>
      <c r="H791" t="s">
        <v>40</v>
      </c>
      <c r="I791">
        <v>1263.8499999999999</v>
      </c>
      <c r="J791">
        <v>758.31</v>
      </c>
      <c r="K791">
        <v>10.99</v>
      </c>
      <c r="L791">
        <v>914</v>
      </c>
      <c r="M791" t="s">
        <v>45</v>
      </c>
      <c r="N791">
        <v>2916</v>
      </c>
    </row>
    <row r="792" spans="1:14" x14ac:dyDescent="0.3">
      <c r="A792">
        <v>1997</v>
      </c>
      <c r="B792" t="s">
        <v>1393</v>
      </c>
      <c r="C792" t="s">
        <v>1394</v>
      </c>
      <c r="D792" t="s">
        <v>22</v>
      </c>
      <c r="E792" t="s">
        <v>52</v>
      </c>
      <c r="F792">
        <v>4.42</v>
      </c>
      <c r="G792">
        <v>67047</v>
      </c>
      <c r="H792" t="s">
        <v>18</v>
      </c>
      <c r="I792">
        <v>458.85</v>
      </c>
      <c r="J792">
        <v>0</v>
      </c>
      <c r="K792">
        <v>3.99</v>
      </c>
      <c r="L792">
        <v>915</v>
      </c>
      <c r="M792" t="s">
        <v>26</v>
      </c>
      <c r="N792">
        <v>2916</v>
      </c>
    </row>
    <row r="793" spans="1:14" x14ac:dyDescent="0.3">
      <c r="A793">
        <v>1968</v>
      </c>
      <c r="B793" t="s">
        <v>1395</v>
      </c>
      <c r="C793" t="s">
        <v>1396</v>
      </c>
      <c r="D793" t="s">
        <v>22</v>
      </c>
      <c r="E793" t="s">
        <v>536</v>
      </c>
      <c r="F793">
        <v>4.18</v>
      </c>
      <c r="G793">
        <v>76277</v>
      </c>
      <c r="H793" t="s">
        <v>18</v>
      </c>
      <c r="I793">
        <v>343.85</v>
      </c>
      <c r="J793">
        <v>0</v>
      </c>
      <c r="K793">
        <v>2.99</v>
      </c>
      <c r="L793">
        <v>916</v>
      </c>
      <c r="M793" t="s">
        <v>26</v>
      </c>
      <c r="N793">
        <v>2916</v>
      </c>
    </row>
    <row r="794" spans="1:14" x14ac:dyDescent="0.3">
      <c r="A794">
        <v>2005</v>
      </c>
      <c r="B794" t="s">
        <v>1397</v>
      </c>
      <c r="C794" t="s">
        <v>1398</v>
      </c>
      <c r="D794" t="s">
        <v>22</v>
      </c>
      <c r="E794" t="s">
        <v>23</v>
      </c>
      <c r="F794">
        <v>3.8</v>
      </c>
      <c r="G794">
        <v>86805</v>
      </c>
      <c r="H794" t="s">
        <v>18</v>
      </c>
      <c r="I794">
        <v>343.85</v>
      </c>
      <c r="J794">
        <v>206.31</v>
      </c>
      <c r="K794">
        <v>2.99</v>
      </c>
      <c r="L794">
        <v>917</v>
      </c>
      <c r="M794" t="s">
        <v>26</v>
      </c>
      <c r="N794">
        <v>2916</v>
      </c>
    </row>
    <row r="795" spans="1:14" x14ac:dyDescent="0.3">
      <c r="A795">
        <v>2000</v>
      </c>
      <c r="B795" t="s">
        <v>1399</v>
      </c>
      <c r="C795" t="s">
        <v>1268</v>
      </c>
      <c r="D795" t="s">
        <v>16</v>
      </c>
      <c r="E795" t="s">
        <v>23</v>
      </c>
      <c r="F795">
        <v>3.89</v>
      </c>
      <c r="G795">
        <v>81945</v>
      </c>
      <c r="H795" t="s">
        <v>18</v>
      </c>
      <c r="I795">
        <v>458.85</v>
      </c>
      <c r="J795">
        <v>0</v>
      </c>
      <c r="K795">
        <v>3.99</v>
      </c>
      <c r="L795">
        <v>918</v>
      </c>
      <c r="M795" t="s">
        <v>26</v>
      </c>
      <c r="N795">
        <v>2916</v>
      </c>
    </row>
    <row r="796" spans="1:14" x14ac:dyDescent="0.3">
      <c r="A796">
        <v>2008</v>
      </c>
      <c r="B796" t="s">
        <v>1400</v>
      </c>
      <c r="C796" t="s">
        <v>1401</v>
      </c>
      <c r="D796" t="s">
        <v>22</v>
      </c>
      <c r="E796" t="s">
        <v>536</v>
      </c>
      <c r="F796">
        <v>4.05</v>
      </c>
      <c r="G796">
        <v>72480</v>
      </c>
      <c r="H796" t="s">
        <v>18</v>
      </c>
      <c r="I796">
        <v>803.85</v>
      </c>
      <c r="J796">
        <v>482.31</v>
      </c>
      <c r="K796">
        <v>6.99</v>
      </c>
      <c r="L796">
        <v>920</v>
      </c>
      <c r="M796" t="s">
        <v>33</v>
      </c>
      <c r="N796">
        <v>2916</v>
      </c>
    </row>
    <row r="797" spans="1:14" x14ac:dyDescent="0.3">
      <c r="A797">
        <v>2015</v>
      </c>
      <c r="B797" t="s">
        <v>1402</v>
      </c>
      <c r="C797" t="s">
        <v>467</v>
      </c>
      <c r="D797" t="s">
        <v>22</v>
      </c>
      <c r="E797" t="s">
        <v>536</v>
      </c>
      <c r="F797">
        <v>4.07</v>
      </c>
      <c r="G797">
        <v>61439</v>
      </c>
      <c r="H797" t="s">
        <v>18</v>
      </c>
      <c r="I797">
        <v>930.35</v>
      </c>
      <c r="J797">
        <v>558.21</v>
      </c>
      <c r="K797">
        <v>8.09</v>
      </c>
      <c r="L797">
        <v>921</v>
      </c>
      <c r="M797" t="s">
        <v>33</v>
      </c>
      <c r="N797">
        <v>2916</v>
      </c>
    </row>
    <row r="798" spans="1:14" x14ac:dyDescent="0.3">
      <c r="A798">
        <v>1894</v>
      </c>
      <c r="B798" t="s">
        <v>1403</v>
      </c>
      <c r="C798" t="s">
        <v>1404</v>
      </c>
      <c r="D798" t="s">
        <v>22</v>
      </c>
      <c r="E798" t="s">
        <v>23</v>
      </c>
      <c r="F798">
        <v>3.94</v>
      </c>
      <c r="G798">
        <v>67107</v>
      </c>
      <c r="H798" t="s">
        <v>29</v>
      </c>
      <c r="I798">
        <v>113.85</v>
      </c>
      <c r="J798">
        <v>68.31</v>
      </c>
      <c r="K798">
        <v>0.99</v>
      </c>
      <c r="L798">
        <v>922</v>
      </c>
      <c r="M798" t="s">
        <v>26</v>
      </c>
      <c r="N798">
        <v>2916</v>
      </c>
    </row>
    <row r="799" spans="1:14" x14ac:dyDescent="0.3">
      <c r="A799">
        <v>2013</v>
      </c>
      <c r="B799" t="s">
        <v>1405</v>
      </c>
      <c r="C799" t="s">
        <v>1406</v>
      </c>
      <c r="D799" t="s">
        <v>22</v>
      </c>
      <c r="E799" t="s">
        <v>536</v>
      </c>
      <c r="F799">
        <v>4.2300000000000004</v>
      </c>
      <c r="G799">
        <v>49740</v>
      </c>
      <c r="H799" t="s">
        <v>18</v>
      </c>
      <c r="I799">
        <v>573.85</v>
      </c>
      <c r="J799">
        <v>344.31</v>
      </c>
      <c r="K799">
        <v>4.99</v>
      </c>
      <c r="L799">
        <v>924</v>
      </c>
      <c r="M799" t="s">
        <v>26</v>
      </c>
      <c r="N799">
        <v>2916</v>
      </c>
    </row>
    <row r="800" spans="1:14" x14ac:dyDescent="0.3">
      <c r="A800">
        <v>1956</v>
      </c>
      <c r="B800" t="s">
        <v>1407</v>
      </c>
      <c r="C800" t="s">
        <v>1408</v>
      </c>
      <c r="D800" t="s">
        <v>22</v>
      </c>
      <c r="E800" t="s">
        <v>536</v>
      </c>
      <c r="F800">
        <v>4.1399999999999997</v>
      </c>
      <c r="G800">
        <v>71968</v>
      </c>
      <c r="H800" t="s">
        <v>40</v>
      </c>
      <c r="I800">
        <v>1269.5999999999999</v>
      </c>
      <c r="J800">
        <v>761.76</v>
      </c>
      <c r="K800">
        <v>11.04</v>
      </c>
      <c r="L800">
        <v>926</v>
      </c>
      <c r="M800" t="s">
        <v>19</v>
      </c>
      <c r="N800">
        <v>2916</v>
      </c>
    </row>
    <row r="801" spans="1:14" x14ac:dyDescent="0.3">
      <c r="A801">
        <v>1997</v>
      </c>
      <c r="B801" t="s">
        <v>1409</v>
      </c>
      <c r="C801" t="s">
        <v>1410</v>
      </c>
      <c r="D801" t="s">
        <v>22</v>
      </c>
      <c r="E801" t="s">
        <v>23</v>
      </c>
      <c r="F801">
        <v>3.95</v>
      </c>
      <c r="G801">
        <v>63324</v>
      </c>
      <c r="H801" t="s">
        <v>18</v>
      </c>
      <c r="I801">
        <v>884.35</v>
      </c>
      <c r="J801">
        <v>530.61</v>
      </c>
      <c r="K801">
        <v>7.69</v>
      </c>
      <c r="L801">
        <v>927</v>
      </c>
      <c r="M801" t="s">
        <v>45</v>
      </c>
      <c r="N801">
        <v>2916</v>
      </c>
    </row>
    <row r="802" spans="1:14" x14ac:dyDescent="0.3">
      <c r="A802">
        <v>2011</v>
      </c>
      <c r="B802" t="s">
        <v>1411</v>
      </c>
      <c r="C802" t="s">
        <v>1412</v>
      </c>
      <c r="D802" t="s">
        <v>22</v>
      </c>
      <c r="E802" t="s">
        <v>536</v>
      </c>
      <c r="F802">
        <v>4.26</v>
      </c>
      <c r="G802">
        <v>71816</v>
      </c>
      <c r="H802" t="s">
        <v>18</v>
      </c>
      <c r="I802">
        <v>113.85</v>
      </c>
      <c r="J802">
        <v>68.31</v>
      </c>
      <c r="K802">
        <v>0.99</v>
      </c>
      <c r="L802">
        <v>930</v>
      </c>
      <c r="M802" t="s">
        <v>26</v>
      </c>
      <c r="N802">
        <v>2916</v>
      </c>
    </row>
    <row r="803" spans="1:14" x14ac:dyDescent="0.3">
      <c r="A803">
        <v>1992</v>
      </c>
      <c r="B803" t="s">
        <v>1413</v>
      </c>
      <c r="C803" t="s">
        <v>164</v>
      </c>
      <c r="D803" t="s">
        <v>16</v>
      </c>
      <c r="E803" t="s">
        <v>23</v>
      </c>
      <c r="F803">
        <v>3.96</v>
      </c>
      <c r="G803">
        <v>72426</v>
      </c>
      <c r="H803" t="s">
        <v>40</v>
      </c>
      <c r="I803">
        <v>573.85</v>
      </c>
      <c r="J803">
        <v>344.31</v>
      </c>
      <c r="K803">
        <v>4.99</v>
      </c>
      <c r="L803">
        <v>931</v>
      </c>
      <c r="M803" t="s">
        <v>65</v>
      </c>
      <c r="N803">
        <v>2916</v>
      </c>
    </row>
    <row r="804" spans="1:14" x14ac:dyDescent="0.3">
      <c r="A804">
        <v>2003</v>
      </c>
      <c r="B804" t="s">
        <v>1414</v>
      </c>
      <c r="C804" t="s">
        <v>927</v>
      </c>
      <c r="D804" t="s">
        <v>22</v>
      </c>
      <c r="E804" t="s">
        <v>23</v>
      </c>
      <c r="F804">
        <v>3.96</v>
      </c>
      <c r="G804">
        <v>70335</v>
      </c>
      <c r="H804" t="s">
        <v>18</v>
      </c>
      <c r="I804">
        <v>573.85</v>
      </c>
      <c r="J804">
        <v>344.31</v>
      </c>
      <c r="K804">
        <v>4.99</v>
      </c>
      <c r="L804">
        <v>933</v>
      </c>
      <c r="M804" t="s">
        <v>133</v>
      </c>
      <c r="N804">
        <v>2916</v>
      </c>
    </row>
    <row r="805" spans="1:14" x14ac:dyDescent="0.3">
      <c r="A805">
        <v>2011</v>
      </c>
      <c r="B805" t="s">
        <v>1415</v>
      </c>
      <c r="C805" t="s">
        <v>1416</v>
      </c>
      <c r="D805" t="s">
        <v>22</v>
      </c>
      <c r="E805" t="s">
        <v>17</v>
      </c>
      <c r="F805">
        <v>3.37</v>
      </c>
      <c r="G805">
        <v>66104</v>
      </c>
      <c r="H805" t="s">
        <v>18</v>
      </c>
      <c r="I805">
        <v>113.85</v>
      </c>
      <c r="J805">
        <v>0</v>
      </c>
      <c r="K805">
        <v>0.99</v>
      </c>
      <c r="L805">
        <v>936</v>
      </c>
      <c r="M805" t="s">
        <v>26</v>
      </c>
      <c r="N805">
        <v>2916</v>
      </c>
    </row>
    <row r="806" spans="1:14" x14ac:dyDescent="0.3">
      <c r="A806">
        <v>2005</v>
      </c>
      <c r="B806" t="s">
        <v>1417</v>
      </c>
      <c r="C806" t="s">
        <v>1418</v>
      </c>
      <c r="D806" t="s">
        <v>22</v>
      </c>
      <c r="E806" t="s">
        <v>536</v>
      </c>
      <c r="F806">
        <v>4.16</v>
      </c>
      <c r="G806">
        <v>96417</v>
      </c>
      <c r="H806" t="s">
        <v>18</v>
      </c>
      <c r="I806">
        <v>343.85</v>
      </c>
      <c r="J806">
        <v>0</v>
      </c>
      <c r="K806">
        <v>2.99</v>
      </c>
      <c r="L806">
        <v>937</v>
      </c>
      <c r="M806" t="s">
        <v>26</v>
      </c>
      <c r="N806">
        <v>2916</v>
      </c>
    </row>
    <row r="807" spans="1:14" x14ac:dyDescent="0.3">
      <c r="A807">
        <v>2007</v>
      </c>
      <c r="B807" t="s">
        <v>1419</v>
      </c>
      <c r="C807" t="s">
        <v>593</v>
      </c>
      <c r="D807" t="s">
        <v>22</v>
      </c>
      <c r="E807" t="s">
        <v>536</v>
      </c>
      <c r="F807">
        <v>4.33</v>
      </c>
      <c r="G807">
        <v>97514</v>
      </c>
      <c r="H807" t="s">
        <v>29</v>
      </c>
      <c r="I807">
        <v>910.86</v>
      </c>
      <c r="J807">
        <v>546.51599999999996</v>
      </c>
      <c r="K807">
        <v>7.99</v>
      </c>
      <c r="L807">
        <v>938</v>
      </c>
      <c r="M807" t="s">
        <v>26</v>
      </c>
      <c r="N807">
        <v>2916</v>
      </c>
    </row>
    <row r="808" spans="1:14" x14ac:dyDescent="0.3">
      <c r="A808">
        <v>2004</v>
      </c>
      <c r="B808" t="s">
        <v>1420</v>
      </c>
      <c r="C808" t="s">
        <v>438</v>
      </c>
      <c r="D808" t="s">
        <v>22</v>
      </c>
      <c r="E808" t="s">
        <v>536</v>
      </c>
      <c r="F808">
        <v>4.3600000000000003</v>
      </c>
      <c r="G808">
        <v>75186</v>
      </c>
      <c r="H808" t="s">
        <v>29</v>
      </c>
      <c r="I808">
        <v>1366.86</v>
      </c>
      <c r="J808">
        <v>820.11599999999999</v>
      </c>
      <c r="K808">
        <v>11.99</v>
      </c>
      <c r="L808">
        <v>939</v>
      </c>
      <c r="M808" t="s">
        <v>33</v>
      </c>
      <c r="N808">
        <v>2916</v>
      </c>
    </row>
    <row r="809" spans="1:14" x14ac:dyDescent="0.3">
      <c r="A809">
        <v>1830</v>
      </c>
      <c r="B809" t="s">
        <v>1421</v>
      </c>
      <c r="C809" t="s">
        <v>1422</v>
      </c>
      <c r="D809" t="s">
        <v>22</v>
      </c>
      <c r="E809" t="s">
        <v>536</v>
      </c>
      <c r="F809">
        <v>4.37</v>
      </c>
      <c r="G809">
        <v>63530</v>
      </c>
      <c r="H809" t="s">
        <v>18</v>
      </c>
      <c r="I809">
        <v>1366.86</v>
      </c>
      <c r="J809">
        <v>820.11599999999999</v>
      </c>
      <c r="K809">
        <v>11.99</v>
      </c>
      <c r="L809">
        <v>941</v>
      </c>
      <c r="M809" t="s">
        <v>45</v>
      </c>
      <c r="N809">
        <v>2916</v>
      </c>
    </row>
    <row r="810" spans="1:14" x14ac:dyDescent="0.3">
      <c r="A810">
        <v>1980</v>
      </c>
      <c r="B810" t="s">
        <v>1423</v>
      </c>
      <c r="C810" t="s">
        <v>73</v>
      </c>
      <c r="D810" t="s">
        <v>16</v>
      </c>
      <c r="E810" t="s">
        <v>23</v>
      </c>
      <c r="F810">
        <v>3.92</v>
      </c>
      <c r="G810">
        <v>82062</v>
      </c>
      <c r="H810" t="s">
        <v>40</v>
      </c>
      <c r="I810">
        <v>340.86</v>
      </c>
      <c r="J810">
        <v>204.51599999999999</v>
      </c>
      <c r="K810">
        <v>2.99</v>
      </c>
      <c r="L810">
        <v>943</v>
      </c>
      <c r="M810" t="s">
        <v>26</v>
      </c>
      <c r="N810">
        <v>2916</v>
      </c>
    </row>
    <row r="811" spans="1:14" x14ac:dyDescent="0.3">
      <c r="A811">
        <v>2005</v>
      </c>
      <c r="B811" t="s">
        <v>1424</v>
      </c>
      <c r="C811" t="s">
        <v>682</v>
      </c>
      <c r="D811" t="s">
        <v>22</v>
      </c>
      <c r="E811" t="s">
        <v>52</v>
      </c>
      <c r="F811">
        <v>4.43</v>
      </c>
      <c r="G811">
        <v>78123</v>
      </c>
      <c r="H811" t="s">
        <v>18</v>
      </c>
      <c r="I811">
        <v>568.86</v>
      </c>
      <c r="J811">
        <v>0</v>
      </c>
      <c r="K811">
        <v>4.99</v>
      </c>
      <c r="L811">
        <v>944</v>
      </c>
      <c r="M811" t="s">
        <v>26</v>
      </c>
      <c r="N811">
        <v>2916</v>
      </c>
    </row>
    <row r="812" spans="1:14" x14ac:dyDescent="0.3">
      <c r="A812">
        <v>2015</v>
      </c>
      <c r="B812" t="s">
        <v>1425</v>
      </c>
      <c r="C812" t="s">
        <v>625</v>
      </c>
      <c r="D812" t="s">
        <v>22</v>
      </c>
      <c r="E812" t="s">
        <v>52</v>
      </c>
      <c r="F812">
        <v>4.46</v>
      </c>
      <c r="G812">
        <v>57614</v>
      </c>
      <c r="H812" t="s">
        <v>18</v>
      </c>
      <c r="I812">
        <v>112.86</v>
      </c>
      <c r="J812">
        <v>0</v>
      </c>
      <c r="K812">
        <v>0.99</v>
      </c>
      <c r="L812">
        <v>946</v>
      </c>
      <c r="M812" t="s">
        <v>26</v>
      </c>
      <c r="N812">
        <v>2916</v>
      </c>
    </row>
    <row r="813" spans="1:14" x14ac:dyDescent="0.3">
      <c r="A813">
        <v>2002</v>
      </c>
      <c r="B813" t="s">
        <v>1426</v>
      </c>
      <c r="C813" t="s">
        <v>438</v>
      </c>
      <c r="D813" t="s">
        <v>22</v>
      </c>
      <c r="E813" t="s">
        <v>52</v>
      </c>
      <c r="F813">
        <v>4.47</v>
      </c>
      <c r="G813">
        <v>71271</v>
      </c>
      <c r="H813" t="s">
        <v>40</v>
      </c>
      <c r="I813">
        <v>910.86</v>
      </c>
      <c r="J813">
        <v>546.51599999999996</v>
      </c>
      <c r="K813">
        <v>7.99</v>
      </c>
      <c r="L813">
        <v>947</v>
      </c>
      <c r="M813" t="s">
        <v>26</v>
      </c>
      <c r="N813">
        <v>2916</v>
      </c>
    </row>
    <row r="814" spans="1:14" x14ac:dyDescent="0.3">
      <c r="A814">
        <v>1986</v>
      </c>
      <c r="B814" t="s">
        <v>1427</v>
      </c>
      <c r="C814" t="s">
        <v>438</v>
      </c>
      <c r="D814" t="s">
        <v>16</v>
      </c>
      <c r="E814" t="s">
        <v>23</v>
      </c>
      <c r="F814">
        <v>3.94</v>
      </c>
      <c r="G814">
        <v>75196</v>
      </c>
      <c r="H814" t="s">
        <v>40</v>
      </c>
      <c r="I814">
        <v>112.86</v>
      </c>
      <c r="J814">
        <v>67.715999999999994</v>
      </c>
      <c r="K814">
        <v>0.99</v>
      </c>
      <c r="L814">
        <v>949</v>
      </c>
      <c r="M814" t="s">
        <v>26</v>
      </c>
      <c r="N814">
        <v>2916</v>
      </c>
    </row>
    <row r="815" spans="1:14" x14ac:dyDescent="0.3">
      <c r="A815">
        <v>2009</v>
      </c>
      <c r="B815" t="s">
        <v>1428</v>
      </c>
      <c r="C815" t="s">
        <v>684</v>
      </c>
      <c r="D815" t="s">
        <v>22</v>
      </c>
      <c r="E815" t="s">
        <v>23</v>
      </c>
      <c r="F815">
        <v>3.82</v>
      </c>
      <c r="G815">
        <v>65277</v>
      </c>
      <c r="H815" t="s">
        <v>18</v>
      </c>
      <c r="I815">
        <v>876.66</v>
      </c>
      <c r="J815">
        <v>525.99599999999998</v>
      </c>
      <c r="K815">
        <v>7.69</v>
      </c>
      <c r="L815">
        <v>950</v>
      </c>
      <c r="M815" t="s">
        <v>45</v>
      </c>
      <c r="N815">
        <v>2916</v>
      </c>
    </row>
    <row r="816" spans="1:14" x14ac:dyDescent="0.3">
      <c r="A816">
        <v>2015</v>
      </c>
      <c r="B816" t="s">
        <v>1429</v>
      </c>
      <c r="C816" t="s">
        <v>1430</v>
      </c>
      <c r="D816" t="s">
        <v>22</v>
      </c>
      <c r="E816" t="s">
        <v>23</v>
      </c>
      <c r="F816">
        <v>3.95</v>
      </c>
      <c r="G816">
        <v>60737</v>
      </c>
      <c r="H816" t="s">
        <v>18</v>
      </c>
      <c r="I816">
        <v>226.86</v>
      </c>
      <c r="J816">
        <v>0</v>
      </c>
      <c r="K816">
        <v>1.99</v>
      </c>
      <c r="L816">
        <v>952</v>
      </c>
      <c r="M816" t="s">
        <v>26</v>
      </c>
      <c r="N816">
        <v>2916</v>
      </c>
    </row>
    <row r="817" spans="1:14" x14ac:dyDescent="0.3">
      <c r="A817">
        <v>2008</v>
      </c>
      <c r="B817" t="s">
        <v>1431</v>
      </c>
      <c r="C817" t="s">
        <v>729</v>
      </c>
      <c r="D817" t="s">
        <v>22</v>
      </c>
      <c r="E817" t="s">
        <v>536</v>
      </c>
      <c r="F817">
        <v>4.26</v>
      </c>
      <c r="G817">
        <v>65068</v>
      </c>
      <c r="H817" t="s">
        <v>18</v>
      </c>
      <c r="I817">
        <v>568.86</v>
      </c>
      <c r="J817">
        <v>341.31599999999997</v>
      </c>
      <c r="K817">
        <v>4.99</v>
      </c>
      <c r="L817">
        <v>952</v>
      </c>
      <c r="M817" t="s">
        <v>133</v>
      </c>
      <c r="N817">
        <v>2916</v>
      </c>
    </row>
    <row r="818" spans="1:14" x14ac:dyDescent="0.3">
      <c r="A818">
        <v>2014</v>
      </c>
      <c r="B818" t="s">
        <v>1432</v>
      </c>
      <c r="C818" t="s">
        <v>73</v>
      </c>
      <c r="D818" t="s">
        <v>16</v>
      </c>
      <c r="E818" t="s">
        <v>23</v>
      </c>
      <c r="F818">
        <v>3.75</v>
      </c>
      <c r="G818">
        <v>53662</v>
      </c>
      <c r="H818" t="s">
        <v>18</v>
      </c>
      <c r="I818">
        <v>568.86</v>
      </c>
      <c r="J818">
        <v>0</v>
      </c>
      <c r="K818">
        <v>4.99</v>
      </c>
      <c r="L818">
        <v>953</v>
      </c>
      <c r="M818" t="s">
        <v>26</v>
      </c>
      <c r="N818">
        <v>2916</v>
      </c>
    </row>
    <row r="819" spans="1:14" x14ac:dyDescent="0.3">
      <c r="A819">
        <v>1954</v>
      </c>
      <c r="B819" t="s">
        <v>1433</v>
      </c>
      <c r="C819" t="s">
        <v>513</v>
      </c>
      <c r="D819" t="s">
        <v>22</v>
      </c>
      <c r="E819" t="s">
        <v>536</v>
      </c>
      <c r="F819">
        <v>4.16</v>
      </c>
      <c r="G819">
        <v>80883</v>
      </c>
      <c r="H819" t="s">
        <v>18</v>
      </c>
      <c r="I819">
        <v>112.86</v>
      </c>
      <c r="J819">
        <v>67.715999999999994</v>
      </c>
      <c r="K819">
        <v>0.99</v>
      </c>
      <c r="L819">
        <v>955</v>
      </c>
      <c r="M819" t="s">
        <v>26</v>
      </c>
      <c r="N819">
        <v>2916</v>
      </c>
    </row>
    <row r="820" spans="1:14" x14ac:dyDescent="0.3">
      <c r="A820">
        <v>2006</v>
      </c>
      <c r="B820" t="s">
        <v>1434</v>
      </c>
      <c r="C820" t="s">
        <v>847</v>
      </c>
      <c r="D820" t="s">
        <v>22</v>
      </c>
      <c r="E820" t="s">
        <v>536</v>
      </c>
      <c r="F820">
        <v>4.16</v>
      </c>
      <c r="G820">
        <v>37792</v>
      </c>
      <c r="H820" t="s">
        <v>612</v>
      </c>
      <c r="I820">
        <v>226.86</v>
      </c>
      <c r="J820">
        <v>136.11600000000001</v>
      </c>
      <c r="K820">
        <v>1.99</v>
      </c>
      <c r="L820">
        <v>956</v>
      </c>
      <c r="M820" t="s">
        <v>19</v>
      </c>
      <c r="N820">
        <v>2889</v>
      </c>
    </row>
    <row r="821" spans="1:14" x14ac:dyDescent="0.3">
      <c r="A821">
        <v>2001</v>
      </c>
      <c r="B821" t="s">
        <v>1435</v>
      </c>
      <c r="C821" t="s">
        <v>425</v>
      </c>
      <c r="D821" t="s">
        <v>16</v>
      </c>
      <c r="E821" t="s">
        <v>536</v>
      </c>
      <c r="F821">
        <v>4.29</v>
      </c>
      <c r="G821">
        <v>78903</v>
      </c>
      <c r="H821" t="s">
        <v>18</v>
      </c>
      <c r="I821">
        <v>876.66</v>
      </c>
      <c r="J821">
        <v>525.99599999999998</v>
      </c>
      <c r="K821">
        <v>7.69</v>
      </c>
      <c r="L821">
        <v>957</v>
      </c>
      <c r="M821" t="s">
        <v>33</v>
      </c>
      <c r="N821">
        <v>2889</v>
      </c>
    </row>
    <row r="822" spans="1:14" x14ac:dyDescent="0.3">
      <c r="A822">
        <v>2006</v>
      </c>
      <c r="B822" t="s">
        <v>1436</v>
      </c>
      <c r="C822" t="s">
        <v>102</v>
      </c>
      <c r="D822" t="s">
        <v>16</v>
      </c>
      <c r="E822" t="s">
        <v>536</v>
      </c>
      <c r="F822">
        <v>4.16</v>
      </c>
      <c r="G822">
        <v>90157</v>
      </c>
      <c r="H822" t="s">
        <v>29</v>
      </c>
      <c r="I822">
        <v>340.86</v>
      </c>
      <c r="J822">
        <v>204.51599999999999</v>
      </c>
      <c r="K822">
        <v>2.99</v>
      </c>
      <c r="L822">
        <v>958</v>
      </c>
      <c r="M822" t="s">
        <v>26</v>
      </c>
      <c r="N822">
        <v>2889</v>
      </c>
    </row>
    <row r="823" spans="1:14" x14ac:dyDescent="0.3">
      <c r="A823">
        <v>2007</v>
      </c>
      <c r="B823" t="s">
        <v>1437</v>
      </c>
      <c r="C823" t="s">
        <v>1438</v>
      </c>
      <c r="D823" t="s">
        <v>22</v>
      </c>
      <c r="E823" t="s">
        <v>536</v>
      </c>
      <c r="F823">
        <v>4.37</v>
      </c>
      <c r="G823">
        <v>74378</v>
      </c>
      <c r="H823" t="s">
        <v>40</v>
      </c>
      <c r="I823">
        <v>1366.86</v>
      </c>
      <c r="J823">
        <v>820.11599999999999</v>
      </c>
      <c r="K823">
        <v>11.99</v>
      </c>
      <c r="L823">
        <v>960</v>
      </c>
      <c r="M823" t="s">
        <v>33</v>
      </c>
      <c r="N823">
        <v>2889</v>
      </c>
    </row>
    <row r="824" spans="1:14" x14ac:dyDescent="0.3">
      <c r="A824">
        <v>2015</v>
      </c>
      <c r="B824" t="s">
        <v>1439</v>
      </c>
      <c r="C824" t="s">
        <v>126</v>
      </c>
      <c r="D824" t="s">
        <v>22</v>
      </c>
      <c r="E824" t="s">
        <v>52</v>
      </c>
      <c r="F824">
        <v>4.49</v>
      </c>
      <c r="G824">
        <v>100464</v>
      </c>
      <c r="H824" t="s">
        <v>40</v>
      </c>
      <c r="I824">
        <v>397.86</v>
      </c>
      <c r="J824">
        <v>0</v>
      </c>
      <c r="K824">
        <v>3.49</v>
      </c>
      <c r="L824">
        <v>961</v>
      </c>
      <c r="M824" t="s">
        <v>26</v>
      </c>
      <c r="N824">
        <v>2889</v>
      </c>
    </row>
    <row r="825" spans="1:14" x14ac:dyDescent="0.3">
      <c r="A825">
        <v>1886</v>
      </c>
      <c r="B825" t="s">
        <v>1440</v>
      </c>
      <c r="C825" t="s">
        <v>1441</v>
      </c>
      <c r="D825" t="s">
        <v>22</v>
      </c>
      <c r="E825" t="s">
        <v>23</v>
      </c>
      <c r="F825">
        <v>3.94</v>
      </c>
      <c r="G825">
        <v>80299</v>
      </c>
      <c r="H825" t="s">
        <v>18</v>
      </c>
      <c r="I825">
        <v>568.86</v>
      </c>
      <c r="J825">
        <v>341.31599999999997</v>
      </c>
      <c r="K825">
        <v>4.99</v>
      </c>
      <c r="L825">
        <v>963</v>
      </c>
      <c r="M825" t="s">
        <v>45</v>
      </c>
      <c r="N825">
        <v>2889</v>
      </c>
    </row>
    <row r="826" spans="1:14" x14ac:dyDescent="0.3">
      <c r="A826">
        <v>2012</v>
      </c>
      <c r="B826" t="s">
        <v>1442</v>
      </c>
      <c r="C826" t="s">
        <v>1443</v>
      </c>
      <c r="D826" t="s">
        <v>16</v>
      </c>
      <c r="E826" t="s">
        <v>52</v>
      </c>
      <c r="F826">
        <v>4.4000000000000004</v>
      </c>
      <c r="G826">
        <v>67264</v>
      </c>
      <c r="H826" t="s">
        <v>18</v>
      </c>
      <c r="I826">
        <v>340.86</v>
      </c>
      <c r="J826">
        <v>0</v>
      </c>
      <c r="K826">
        <v>2.99</v>
      </c>
      <c r="L826">
        <v>963</v>
      </c>
      <c r="M826" t="s">
        <v>26</v>
      </c>
      <c r="N826">
        <v>2889</v>
      </c>
    </row>
    <row r="827" spans="1:14" x14ac:dyDescent="0.3">
      <c r="A827">
        <v>2008</v>
      </c>
      <c r="B827" t="s">
        <v>1442</v>
      </c>
      <c r="C827" t="s">
        <v>1444</v>
      </c>
      <c r="D827" t="s">
        <v>22</v>
      </c>
      <c r="E827" t="s">
        <v>536</v>
      </c>
      <c r="F827">
        <v>4.2699999999999996</v>
      </c>
      <c r="G827">
        <v>64416</v>
      </c>
      <c r="H827" t="s">
        <v>18</v>
      </c>
      <c r="I827">
        <v>454.86</v>
      </c>
      <c r="J827">
        <v>272.916</v>
      </c>
      <c r="K827">
        <v>3.99</v>
      </c>
      <c r="L827">
        <v>966</v>
      </c>
      <c r="M827" t="s">
        <v>26</v>
      </c>
      <c r="N827">
        <v>2889</v>
      </c>
    </row>
    <row r="828" spans="1:14" x14ac:dyDescent="0.3">
      <c r="A828">
        <v>1678</v>
      </c>
      <c r="B828" t="s">
        <v>1445</v>
      </c>
      <c r="C828" t="s">
        <v>1446</v>
      </c>
      <c r="D828" t="s">
        <v>22</v>
      </c>
      <c r="E828" t="s">
        <v>23</v>
      </c>
      <c r="F828">
        <v>3.98</v>
      </c>
      <c r="G828">
        <v>67777</v>
      </c>
      <c r="H828" t="s">
        <v>18</v>
      </c>
      <c r="I828">
        <v>856.14</v>
      </c>
      <c r="J828">
        <v>513.68399999999997</v>
      </c>
      <c r="K828">
        <v>7.51</v>
      </c>
      <c r="L828">
        <v>967</v>
      </c>
      <c r="M828" t="s">
        <v>33</v>
      </c>
      <c r="N828">
        <v>2889</v>
      </c>
    </row>
    <row r="829" spans="1:14" x14ac:dyDescent="0.3">
      <c r="A829">
        <v>2005</v>
      </c>
      <c r="B829" t="s">
        <v>1445</v>
      </c>
      <c r="C829" t="s">
        <v>1447</v>
      </c>
      <c r="D829" t="s">
        <v>22</v>
      </c>
      <c r="E829" t="s">
        <v>536</v>
      </c>
      <c r="F829">
        <v>4.2</v>
      </c>
      <c r="G829">
        <v>63335</v>
      </c>
      <c r="H829" t="s">
        <v>18</v>
      </c>
      <c r="I829">
        <v>340.86</v>
      </c>
      <c r="J829">
        <v>204.51599999999999</v>
      </c>
      <c r="K829">
        <v>2.99</v>
      </c>
      <c r="L829">
        <v>968</v>
      </c>
      <c r="M829" t="s">
        <v>65</v>
      </c>
      <c r="N829">
        <v>2889</v>
      </c>
    </row>
    <row r="830" spans="1:14" x14ac:dyDescent="0.3">
      <c r="A830">
        <v>2012</v>
      </c>
      <c r="B830" t="s">
        <v>1448</v>
      </c>
      <c r="C830" t="s">
        <v>313</v>
      </c>
      <c r="D830" t="s">
        <v>22</v>
      </c>
      <c r="E830" t="s">
        <v>536</v>
      </c>
      <c r="F830">
        <v>4.28</v>
      </c>
      <c r="G830">
        <v>82757</v>
      </c>
      <c r="H830" t="s">
        <v>18</v>
      </c>
      <c r="I830">
        <v>345.42</v>
      </c>
      <c r="J830">
        <v>0</v>
      </c>
      <c r="K830">
        <v>3.03</v>
      </c>
      <c r="L830">
        <v>968</v>
      </c>
      <c r="M830" t="s">
        <v>26</v>
      </c>
      <c r="N830">
        <v>2889</v>
      </c>
    </row>
    <row r="831" spans="1:14" x14ac:dyDescent="0.3">
      <c r="A831">
        <v>2008</v>
      </c>
      <c r="B831" t="s">
        <v>1449</v>
      </c>
      <c r="C831" t="s">
        <v>73</v>
      </c>
      <c r="D831" t="s">
        <v>16</v>
      </c>
      <c r="E831" t="s">
        <v>23</v>
      </c>
      <c r="F831">
        <v>3.93</v>
      </c>
      <c r="G831">
        <v>73807</v>
      </c>
      <c r="H831" t="s">
        <v>18</v>
      </c>
      <c r="I831">
        <v>844.74</v>
      </c>
      <c r="J831">
        <v>506.84399999999999</v>
      </c>
      <c r="K831">
        <v>7.41</v>
      </c>
      <c r="L831">
        <v>969</v>
      </c>
      <c r="M831" t="s">
        <v>133</v>
      </c>
      <c r="N831">
        <v>2889</v>
      </c>
    </row>
    <row r="832" spans="1:14" x14ac:dyDescent="0.3">
      <c r="A832">
        <v>2006</v>
      </c>
      <c r="B832" t="s">
        <v>1450</v>
      </c>
      <c r="C832" t="s">
        <v>189</v>
      </c>
      <c r="D832" t="s">
        <v>22</v>
      </c>
      <c r="E832" t="s">
        <v>23</v>
      </c>
      <c r="F832">
        <v>3.93</v>
      </c>
      <c r="G832">
        <v>69948</v>
      </c>
      <c r="H832" t="s">
        <v>18</v>
      </c>
      <c r="I832">
        <v>228</v>
      </c>
      <c r="J832">
        <v>0</v>
      </c>
      <c r="K832">
        <v>2</v>
      </c>
      <c r="L832">
        <v>970</v>
      </c>
      <c r="M832" t="s">
        <v>26</v>
      </c>
      <c r="N832">
        <v>2889</v>
      </c>
    </row>
    <row r="833" spans="1:14" x14ac:dyDescent="0.3">
      <c r="A833">
        <v>2000</v>
      </c>
      <c r="B833" t="s">
        <v>1451</v>
      </c>
      <c r="C833" t="s">
        <v>378</v>
      </c>
      <c r="D833" t="s">
        <v>16</v>
      </c>
      <c r="E833" t="s">
        <v>23</v>
      </c>
      <c r="F833">
        <v>3.92</v>
      </c>
      <c r="G833">
        <v>71355</v>
      </c>
      <c r="H833" t="s">
        <v>29</v>
      </c>
      <c r="I833">
        <v>597.36</v>
      </c>
      <c r="J833">
        <v>358.416</v>
      </c>
      <c r="K833">
        <v>5.24</v>
      </c>
      <c r="L833">
        <v>970</v>
      </c>
      <c r="M833" t="s">
        <v>26</v>
      </c>
      <c r="N833">
        <v>2889</v>
      </c>
    </row>
    <row r="834" spans="1:14" x14ac:dyDescent="0.3">
      <c r="A834">
        <v>2006</v>
      </c>
      <c r="B834" t="s">
        <v>1451</v>
      </c>
      <c r="C834" t="s">
        <v>682</v>
      </c>
      <c r="D834" t="s">
        <v>22</v>
      </c>
      <c r="E834" t="s">
        <v>52</v>
      </c>
      <c r="F834">
        <v>4.41</v>
      </c>
      <c r="G834">
        <v>75133</v>
      </c>
      <c r="H834" t="s">
        <v>18</v>
      </c>
      <c r="I834">
        <v>778.62</v>
      </c>
      <c r="J834">
        <v>467.17200000000003</v>
      </c>
      <c r="K834">
        <v>6.83</v>
      </c>
      <c r="L834">
        <v>971</v>
      </c>
      <c r="M834" t="s">
        <v>65</v>
      </c>
      <c r="N834">
        <v>2889</v>
      </c>
    </row>
    <row r="835" spans="1:14" x14ac:dyDescent="0.3">
      <c r="A835">
        <v>1864</v>
      </c>
      <c r="B835" t="s">
        <v>1452</v>
      </c>
      <c r="C835" t="s">
        <v>1453</v>
      </c>
      <c r="D835" t="s">
        <v>22</v>
      </c>
      <c r="E835" t="s">
        <v>536</v>
      </c>
      <c r="F835">
        <v>4.17</v>
      </c>
      <c r="G835">
        <v>65900</v>
      </c>
      <c r="H835" t="s">
        <v>18</v>
      </c>
      <c r="I835">
        <v>910.86</v>
      </c>
      <c r="J835">
        <v>546.51599999999996</v>
      </c>
      <c r="K835">
        <v>7.99</v>
      </c>
      <c r="L835">
        <v>971</v>
      </c>
      <c r="M835" t="s">
        <v>45</v>
      </c>
      <c r="N835">
        <v>2889</v>
      </c>
    </row>
    <row r="836" spans="1:14" x14ac:dyDescent="0.3">
      <c r="A836">
        <v>1940</v>
      </c>
      <c r="B836" t="s">
        <v>1454</v>
      </c>
      <c r="C836" t="s">
        <v>1455</v>
      </c>
      <c r="D836" t="s">
        <v>22</v>
      </c>
      <c r="E836" t="s">
        <v>23</v>
      </c>
      <c r="F836">
        <v>3.97</v>
      </c>
      <c r="G836">
        <v>67643</v>
      </c>
      <c r="H836" t="s">
        <v>18</v>
      </c>
      <c r="I836">
        <v>454.86</v>
      </c>
      <c r="J836">
        <v>0</v>
      </c>
      <c r="K836">
        <v>3.99</v>
      </c>
      <c r="L836">
        <v>972</v>
      </c>
      <c r="M836" t="s">
        <v>26</v>
      </c>
      <c r="N836">
        <v>2889</v>
      </c>
    </row>
    <row r="837" spans="1:14" x14ac:dyDescent="0.3">
      <c r="A837">
        <v>2014</v>
      </c>
      <c r="B837" t="s">
        <v>1456</v>
      </c>
      <c r="C837" t="s">
        <v>1457</v>
      </c>
      <c r="D837" t="s">
        <v>22</v>
      </c>
      <c r="E837" t="s">
        <v>23</v>
      </c>
      <c r="F837">
        <v>3.94</v>
      </c>
      <c r="G837">
        <v>78314</v>
      </c>
      <c r="H837" t="s">
        <v>18</v>
      </c>
      <c r="I837">
        <v>454.86</v>
      </c>
      <c r="J837">
        <v>0</v>
      </c>
      <c r="K837">
        <v>3.99</v>
      </c>
      <c r="L837">
        <v>973</v>
      </c>
      <c r="M837" t="s">
        <v>26</v>
      </c>
      <c r="N837">
        <v>2889</v>
      </c>
    </row>
    <row r="838" spans="1:14" x14ac:dyDescent="0.3">
      <c r="A838">
        <v>1958</v>
      </c>
      <c r="B838" t="s">
        <v>1458</v>
      </c>
      <c r="C838" t="s">
        <v>1459</v>
      </c>
      <c r="D838" t="s">
        <v>22</v>
      </c>
      <c r="E838" t="s">
        <v>536</v>
      </c>
      <c r="F838">
        <v>4.08</v>
      </c>
      <c r="G838">
        <v>76911</v>
      </c>
      <c r="H838" t="s">
        <v>40</v>
      </c>
      <c r="I838">
        <v>746.7</v>
      </c>
      <c r="J838">
        <v>448.02</v>
      </c>
      <c r="K838">
        <v>6.55</v>
      </c>
      <c r="L838">
        <v>973</v>
      </c>
      <c r="M838" t="s">
        <v>133</v>
      </c>
      <c r="N838">
        <v>2889</v>
      </c>
    </row>
    <row r="839" spans="1:14" x14ac:dyDescent="0.3">
      <c r="A839">
        <v>1992</v>
      </c>
      <c r="B839" t="s">
        <v>1460</v>
      </c>
      <c r="C839" t="s">
        <v>438</v>
      </c>
      <c r="D839" t="s">
        <v>92</v>
      </c>
      <c r="E839" t="s">
        <v>536</v>
      </c>
      <c r="F839">
        <v>4.2699999999999996</v>
      </c>
      <c r="G839">
        <v>72588</v>
      </c>
      <c r="H839" t="s">
        <v>18</v>
      </c>
      <c r="I839">
        <v>1220.4000000000001</v>
      </c>
      <c r="J839">
        <v>732.24</v>
      </c>
      <c r="K839">
        <v>10.8</v>
      </c>
      <c r="L839">
        <v>977</v>
      </c>
      <c r="M839" t="s">
        <v>19</v>
      </c>
      <c r="N839">
        <v>2889</v>
      </c>
    </row>
    <row r="840" spans="1:14" x14ac:dyDescent="0.3">
      <c r="A840">
        <v>1999</v>
      </c>
      <c r="B840" t="s">
        <v>1461</v>
      </c>
      <c r="C840" t="s">
        <v>1462</v>
      </c>
      <c r="D840" t="s">
        <v>22</v>
      </c>
      <c r="E840" t="s">
        <v>23</v>
      </c>
      <c r="F840">
        <v>3.89</v>
      </c>
      <c r="G840">
        <v>73000</v>
      </c>
      <c r="H840" t="s">
        <v>18</v>
      </c>
      <c r="I840">
        <v>431.66</v>
      </c>
      <c r="J840">
        <v>258.99599999999998</v>
      </c>
      <c r="K840">
        <v>3.82</v>
      </c>
      <c r="L840">
        <v>980</v>
      </c>
      <c r="M840" t="s">
        <v>26</v>
      </c>
      <c r="N840">
        <v>2889</v>
      </c>
    </row>
    <row r="841" spans="1:14" x14ac:dyDescent="0.3">
      <c r="A841">
        <v>2006</v>
      </c>
      <c r="B841" t="s">
        <v>1463</v>
      </c>
      <c r="C841" t="s">
        <v>1464</v>
      </c>
      <c r="D841" t="s">
        <v>22</v>
      </c>
      <c r="E841" t="s">
        <v>536</v>
      </c>
      <c r="F841">
        <v>4.12</v>
      </c>
      <c r="G841">
        <v>48305</v>
      </c>
      <c r="H841" t="s">
        <v>18</v>
      </c>
      <c r="I841">
        <v>902.87</v>
      </c>
      <c r="J841">
        <v>541.72199999999998</v>
      </c>
      <c r="K841">
        <v>7.99</v>
      </c>
      <c r="L841">
        <v>981</v>
      </c>
      <c r="M841" t="s">
        <v>30</v>
      </c>
      <c r="N841">
        <v>2889</v>
      </c>
    </row>
    <row r="842" spans="1:14" x14ac:dyDescent="0.3">
      <c r="A842">
        <v>2007</v>
      </c>
      <c r="B842" t="s">
        <v>1463</v>
      </c>
      <c r="C842" t="s">
        <v>1465</v>
      </c>
      <c r="D842" t="s">
        <v>16</v>
      </c>
      <c r="E842" t="s">
        <v>536</v>
      </c>
      <c r="F842">
        <v>4.0999999999999996</v>
      </c>
      <c r="G842">
        <v>61496</v>
      </c>
      <c r="H842" t="s">
        <v>18</v>
      </c>
      <c r="I842">
        <v>563.87</v>
      </c>
      <c r="J842">
        <v>0</v>
      </c>
      <c r="K842">
        <v>4.99</v>
      </c>
      <c r="L842">
        <v>982</v>
      </c>
      <c r="M842" t="s">
        <v>26</v>
      </c>
      <c r="N842">
        <v>2889</v>
      </c>
    </row>
    <row r="843" spans="1:14" x14ac:dyDescent="0.3">
      <c r="A843">
        <v>2012</v>
      </c>
      <c r="B843" t="s">
        <v>1466</v>
      </c>
      <c r="C843" t="s">
        <v>1467</v>
      </c>
      <c r="D843" t="s">
        <v>1468</v>
      </c>
      <c r="E843" t="s">
        <v>23</v>
      </c>
      <c r="F843">
        <v>3.8</v>
      </c>
      <c r="G843">
        <v>53187</v>
      </c>
      <c r="H843" t="s">
        <v>40</v>
      </c>
      <c r="I843">
        <v>1128.8699999999999</v>
      </c>
      <c r="J843">
        <v>677.322</v>
      </c>
      <c r="K843">
        <v>9.99</v>
      </c>
      <c r="L843">
        <v>984</v>
      </c>
      <c r="M843" t="s">
        <v>26</v>
      </c>
      <c r="N843">
        <v>2889</v>
      </c>
    </row>
    <row r="844" spans="1:14" x14ac:dyDescent="0.3">
      <c r="A844">
        <v>1980</v>
      </c>
      <c r="B844" t="s">
        <v>1469</v>
      </c>
      <c r="C844" t="s">
        <v>1470</v>
      </c>
      <c r="D844" t="s">
        <v>22</v>
      </c>
      <c r="E844" t="s">
        <v>23</v>
      </c>
      <c r="F844">
        <v>3.89</v>
      </c>
      <c r="G844">
        <v>77046</v>
      </c>
      <c r="H844" t="s">
        <v>18</v>
      </c>
      <c r="I844">
        <v>450.87</v>
      </c>
      <c r="J844">
        <v>0</v>
      </c>
      <c r="K844">
        <v>3.99</v>
      </c>
      <c r="L844">
        <v>985</v>
      </c>
      <c r="M844" t="s">
        <v>26</v>
      </c>
      <c r="N844">
        <v>2889</v>
      </c>
    </row>
    <row r="845" spans="1:14" x14ac:dyDescent="0.3">
      <c r="A845">
        <v>2012</v>
      </c>
      <c r="B845" t="s">
        <v>1471</v>
      </c>
      <c r="C845" t="s">
        <v>804</v>
      </c>
      <c r="D845" t="s">
        <v>22</v>
      </c>
      <c r="E845" t="s">
        <v>52</v>
      </c>
      <c r="F845">
        <v>4.5</v>
      </c>
      <c r="G845">
        <v>68410</v>
      </c>
      <c r="H845" t="s">
        <v>18</v>
      </c>
      <c r="I845">
        <v>450.87</v>
      </c>
      <c r="J845">
        <v>0</v>
      </c>
      <c r="K845">
        <v>3.99</v>
      </c>
      <c r="L845">
        <v>986</v>
      </c>
      <c r="M845" t="s">
        <v>26</v>
      </c>
      <c r="N845">
        <v>2889</v>
      </c>
    </row>
    <row r="846" spans="1:14" x14ac:dyDescent="0.3">
      <c r="A846">
        <v>2012</v>
      </c>
      <c r="B846" t="s">
        <v>1472</v>
      </c>
      <c r="C846" t="s">
        <v>1473</v>
      </c>
      <c r="D846" t="s">
        <v>16</v>
      </c>
      <c r="E846" t="s">
        <v>23</v>
      </c>
      <c r="F846">
        <v>3.58</v>
      </c>
      <c r="G846">
        <v>82270</v>
      </c>
      <c r="H846" t="s">
        <v>40</v>
      </c>
      <c r="I846">
        <v>1241.8699999999999</v>
      </c>
      <c r="J846">
        <v>745.12199999999996</v>
      </c>
      <c r="K846">
        <v>10.99</v>
      </c>
      <c r="L846">
        <v>988</v>
      </c>
      <c r="M846" t="s">
        <v>45</v>
      </c>
      <c r="N846">
        <v>2889</v>
      </c>
    </row>
    <row r="847" spans="1:14" x14ac:dyDescent="0.3">
      <c r="A847">
        <v>2010</v>
      </c>
      <c r="B847" t="s">
        <v>1474</v>
      </c>
      <c r="C847" t="s">
        <v>939</v>
      </c>
      <c r="D847" t="s">
        <v>16</v>
      </c>
      <c r="E847" t="s">
        <v>536</v>
      </c>
      <c r="F847">
        <v>4.16</v>
      </c>
      <c r="G847">
        <v>68701</v>
      </c>
      <c r="H847" t="s">
        <v>40</v>
      </c>
      <c r="I847">
        <v>111.87</v>
      </c>
      <c r="J847">
        <v>67.122</v>
      </c>
      <c r="K847">
        <v>0.99</v>
      </c>
      <c r="L847">
        <v>990</v>
      </c>
      <c r="M847" t="s">
        <v>26</v>
      </c>
      <c r="N847">
        <v>2889</v>
      </c>
    </row>
    <row r="848" spans="1:14" x14ac:dyDescent="0.3">
      <c r="A848">
        <v>2002</v>
      </c>
      <c r="B848" t="s">
        <v>1475</v>
      </c>
      <c r="C848" t="s">
        <v>719</v>
      </c>
      <c r="D848" t="s">
        <v>22</v>
      </c>
      <c r="E848" t="s">
        <v>536</v>
      </c>
      <c r="F848">
        <v>4.34</v>
      </c>
      <c r="G848">
        <v>63691</v>
      </c>
      <c r="H848" t="s">
        <v>18</v>
      </c>
      <c r="I848">
        <v>169.5</v>
      </c>
      <c r="J848">
        <v>101.7</v>
      </c>
      <c r="K848">
        <v>1.5</v>
      </c>
      <c r="L848">
        <v>992</v>
      </c>
      <c r="M848" t="s">
        <v>19</v>
      </c>
      <c r="N848">
        <v>2889</v>
      </c>
    </row>
    <row r="849" spans="1:14" x14ac:dyDescent="0.3">
      <c r="A849">
        <v>1998</v>
      </c>
      <c r="B849" t="s">
        <v>1476</v>
      </c>
      <c r="C849" t="s">
        <v>1477</v>
      </c>
      <c r="D849" t="s">
        <v>22</v>
      </c>
      <c r="E849" t="s">
        <v>23</v>
      </c>
      <c r="F849">
        <v>3.84</v>
      </c>
      <c r="G849">
        <v>71411</v>
      </c>
      <c r="H849" t="s">
        <v>18</v>
      </c>
      <c r="I849">
        <v>450.87</v>
      </c>
      <c r="J849">
        <v>270.52199999999999</v>
      </c>
      <c r="K849">
        <v>3.99</v>
      </c>
      <c r="L849">
        <v>993</v>
      </c>
      <c r="M849" t="s">
        <v>65</v>
      </c>
      <c r="N849">
        <v>2862</v>
      </c>
    </row>
    <row r="850" spans="1:14" x14ac:dyDescent="0.3">
      <c r="A850">
        <v>2002</v>
      </c>
      <c r="B850" t="s">
        <v>1478</v>
      </c>
      <c r="C850" t="s">
        <v>1479</v>
      </c>
      <c r="D850" t="s">
        <v>22</v>
      </c>
      <c r="E850" t="s">
        <v>536</v>
      </c>
      <c r="F850">
        <v>4.01</v>
      </c>
      <c r="G850">
        <v>68834</v>
      </c>
      <c r="H850" t="s">
        <v>18</v>
      </c>
      <c r="I850">
        <v>1388.77</v>
      </c>
      <c r="J850">
        <v>833.26199999999994</v>
      </c>
      <c r="K850">
        <v>12.29</v>
      </c>
      <c r="L850">
        <v>993</v>
      </c>
      <c r="M850" t="s">
        <v>19</v>
      </c>
      <c r="N850">
        <v>2862</v>
      </c>
    </row>
    <row r="851" spans="1:14" x14ac:dyDescent="0.3">
      <c r="A851">
        <v>1986</v>
      </c>
      <c r="B851" t="s">
        <v>1480</v>
      </c>
      <c r="C851" t="s">
        <v>1301</v>
      </c>
      <c r="D851" t="s">
        <v>92</v>
      </c>
      <c r="E851" t="s">
        <v>52</v>
      </c>
      <c r="F851">
        <v>4.53</v>
      </c>
      <c r="G851">
        <v>76785</v>
      </c>
      <c r="H851" t="s">
        <v>40</v>
      </c>
      <c r="I851">
        <v>111.87</v>
      </c>
      <c r="J851">
        <v>67.122</v>
      </c>
      <c r="K851">
        <v>0.99</v>
      </c>
      <c r="L851">
        <v>994</v>
      </c>
      <c r="M851" t="s">
        <v>26</v>
      </c>
      <c r="N851">
        <v>2862</v>
      </c>
    </row>
    <row r="852" spans="1:14" x14ac:dyDescent="0.3">
      <c r="A852">
        <v>2001</v>
      </c>
      <c r="B852" t="s">
        <v>1481</v>
      </c>
      <c r="C852" t="s">
        <v>1482</v>
      </c>
      <c r="D852" t="s">
        <v>16</v>
      </c>
      <c r="E852" t="s">
        <v>23</v>
      </c>
      <c r="F852">
        <v>3.92</v>
      </c>
      <c r="G852">
        <v>85683</v>
      </c>
      <c r="H852" t="s">
        <v>40</v>
      </c>
      <c r="I852">
        <v>111.87</v>
      </c>
      <c r="J852">
        <v>67.122</v>
      </c>
      <c r="K852">
        <v>0.99</v>
      </c>
      <c r="L852">
        <v>995</v>
      </c>
      <c r="M852" t="s">
        <v>26</v>
      </c>
      <c r="N852">
        <v>2862</v>
      </c>
    </row>
    <row r="853" spans="1:14" x14ac:dyDescent="0.3">
      <c r="A853">
        <v>1989</v>
      </c>
      <c r="B853" t="s">
        <v>1483</v>
      </c>
      <c r="C853" t="s">
        <v>1484</v>
      </c>
      <c r="D853" t="s">
        <v>92</v>
      </c>
      <c r="E853" t="s">
        <v>536</v>
      </c>
      <c r="F853">
        <v>4.17</v>
      </c>
      <c r="G853">
        <v>61842</v>
      </c>
      <c r="H853" t="s">
        <v>18</v>
      </c>
      <c r="I853">
        <v>111.87</v>
      </c>
      <c r="J853">
        <v>0</v>
      </c>
      <c r="K853">
        <v>0.99</v>
      </c>
      <c r="L853">
        <v>996</v>
      </c>
      <c r="M853" t="s">
        <v>26</v>
      </c>
      <c r="N853">
        <v>2862</v>
      </c>
    </row>
    <row r="854" spans="1:14" x14ac:dyDescent="0.3">
      <c r="A854">
        <v>1978</v>
      </c>
      <c r="B854" t="s">
        <v>1485</v>
      </c>
      <c r="C854" t="s">
        <v>1486</v>
      </c>
      <c r="D854" t="s">
        <v>22</v>
      </c>
      <c r="E854" t="s">
        <v>536</v>
      </c>
      <c r="F854">
        <v>4.1399999999999997</v>
      </c>
      <c r="G854">
        <v>74121</v>
      </c>
      <c r="H854" t="s">
        <v>18</v>
      </c>
      <c r="I854">
        <v>864.45</v>
      </c>
      <c r="J854">
        <v>518.66999999999996</v>
      </c>
      <c r="K854">
        <v>7.65</v>
      </c>
      <c r="L854">
        <v>997</v>
      </c>
      <c r="M854" t="s">
        <v>33</v>
      </c>
      <c r="N854">
        <v>2862</v>
      </c>
    </row>
    <row r="855" spans="1:14" x14ac:dyDescent="0.3">
      <c r="A855">
        <v>1998</v>
      </c>
      <c r="B855" t="s">
        <v>1485</v>
      </c>
      <c r="C855" t="s">
        <v>1487</v>
      </c>
      <c r="D855" t="s">
        <v>22</v>
      </c>
      <c r="E855" t="s">
        <v>536</v>
      </c>
      <c r="F855">
        <v>4.1399999999999997</v>
      </c>
      <c r="G855">
        <v>61498</v>
      </c>
      <c r="H855" t="s">
        <v>40</v>
      </c>
      <c r="I855">
        <v>1327.75</v>
      </c>
      <c r="J855">
        <v>796.65</v>
      </c>
      <c r="K855">
        <v>11.75</v>
      </c>
      <c r="L855">
        <v>1000</v>
      </c>
      <c r="M855" t="s">
        <v>45</v>
      </c>
      <c r="N855">
        <v>2862</v>
      </c>
    </row>
    <row r="856" spans="1:14" x14ac:dyDescent="0.3">
      <c r="A856">
        <v>2014</v>
      </c>
      <c r="B856" t="s">
        <v>1488</v>
      </c>
      <c r="C856" t="s">
        <v>1489</v>
      </c>
      <c r="D856" t="s">
        <v>22</v>
      </c>
      <c r="E856" t="s">
        <v>23</v>
      </c>
      <c r="F856">
        <v>3.81</v>
      </c>
      <c r="G856">
        <v>53151</v>
      </c>
      <c r="H856" t="s">
        <v>18</v>
      </c>
      <c r="I856">
        <v>781.96</v>
      </c>
      <c r="J856">
        <v>469.17599999999999</v>
      </c>
      <c r="K856">
        <v>6.92</v>
      </c>
      <c r="L856">
        <v>1001</v>
      </c>
      <c r="M856" t="s">
        <v>45</v>
      </c>
      <c r="N856">
        <v>2862</v>
      </c>
    </row>
    <row r="857" spans="1:14" x14ac:dyDescent="0.3">
      <c r="A857">
        <v>1998</v>
      </c>
      <c r="B857" t="s">
        <v>1490</v>
      </c>
      <c r="C857" t="s">
        <v>1491</v>
      </c>
      <c r="D857" t="s">
        <v>22</v>
      </c>
      <c r="E857" t="s">
        <v>23</v>
      </c>
      <c r="F857">
        <v>3.86</v>
      </c>
      <c r="G857">
        <v>67753</v>
      </c>
      <c r="H857" t="s">
        <v>18</v>
      </c>
      <c r="I857">
        <v>450.87</v>
      </c>
      <c r="J857">
        <v>270.52199999999999</v>
      </c>
      <c r="K857">
        <v>3.99</v>
      </c>
      <c r="L857">
        <v>1001</v>
      </c>
      <c r="M857" t="s">
        <v>26</v>
      </c>
      <c r="N857">
        <v>2862</v>
      </c>
    </row>
    <row r="858" spans="1:14" x14ac:dyDescent="0.3">
      <c r="A858">
        <v>2010</v>
      </c>
      <c r="B858" t="s">
        <v>1492</v>
      </c>
      <c r="C858" t="s">
        <v>1493</v>
      </c>
      <c r="D858" t="s">
        <v>16</v>
      </c>
      <c r="E858" t="s">
        <v>536</v>
      </c>
      <c r="F858">
        <v>4.0999999999999996</v>
      </c>
      <c r="G858">
        <v>59715</v>
      </c>
      <c r="H858" t="s">
        <v>18</v>
      </c>
      <c r="I858">
        <v>337.87</v>
      </c>
      <c r="J858">
        <v>0</v>
      </c>
      <c r="K858">
        <v>2.99</v>
      </c>
      <c r="L858">
        <v>1004</v>
      </c>
      <c r="M858" t="s">
        <v>26</v>
      </c>
      <c r="N858">
        <v>2862</v>
      </c>
    </row>
    <row r="859" spans="1:14" x14ac:dyDescent="0.3">
      <c r="A859">
        <v>2004</v>
      </c>
      <c r="B859" t="s">
        <v>1492</v>
      </c>
      <c r="C859" t="s">
        <v>158</v>
      </c>
      <c r="D859" t="s">
        <v>22</v>
      </c>
      <c r="E859" t="s">
        <v>23</v>
      </c>
      <c r="F859">
        <v>3.85</v>
      </c>
      <c r="G859">
        <v>63114</v>
      </c>
      <c r="H859" t="s">
        <v>40</v>
      </c>
      <c r="I859">
        <v>970.67</v>
      </c>
      <c r="J859">
        <v>582.40200000000004</v>
      </c>
      <c r="K859">
        <v>8.59</v>
      </c>
      <c r="L859">
        <v>1005</v>
      </c>
      <c r="M859" t="s">
        <v>33</v>
      </c>
      <c r="N859">
        <v>2862</v>
      </c>
    </row>
    <row r="860" spans="1:14" x14ac:dyDescent="0.3">
      <c r="A860">
        <v>2003</v>
      </c>
      <c r="B860" t="s">
        <v>1494</v>
      </c>
      <c r="C860" t="s">
        <v>618</v>
      </c>
      <c r="D860" t="s">
        <v>22</v>
      </c>
      <c r="E860" t="s">
        <v>23</v>
      </c>
      <c r="F860">
        <v>3.6</v>
      </c>
      <c r="G860">
        <v>58428</v>
      </c>
      <c r="H860" t="s">
        <v>18</v>
      </c>
      <c r="I860">
        <v>1015.87</v>
      </c>
      <c r="J860">
        <v>609.52200000000005</v>
      </c>
      <c r="K860">
        <v>8.99</v>
      </c>
      <c r="L860">
        <v>1006</v>
      </c>
      <c r="M860" t="s">
        <v>30</v>
      </c>
      <c r="N860">
        <v>2862</v>
      </c>
    </row>
    <row r="861" spans="1:14" x14ac:dyDescent="0.3">
      <c r="A861">
        <v>2005</v>
      </c>
      <c r="B861" t="s">
        <v>1495</v>
      </c>
      <c r="C861" t="s">
        <v>719</v>
      </c>
      <c r="D861" t="s">
        <v>16</v>
      </c>
      <c r="E861" t="s">
        <v>536</v>
      </c>
      <c r="F861">
        <v>4.1500000000000004</v>
      </c>
      <c r="G861">
        <v>84363</v>
      </c>
      <c r="H861" t="s">
        <v>18</v>
      </c>
      <c r="I861">
        <v>846.37</v>
      </c>
      <c r="J861">
        <v>507.822</v>
      </c>
      <c r="K861">
        <v>7.49</v>
      </c>
      <c r="L861">
        <v>1006</v>
      </c>
      <c r="M861" t="s">
        <v>33</v>
      </c>
      <c r="N861">
        <v>2862</v>
      </c>
    </row>
    <row r="862" spans="1:14" x14ac:dyDescent="0.3">
      <c r="A862">
        <v>2005</v>
      </c>
      <c r="B862" t="s">
        <v>1496</v>
      </c>
      <c r="C862" t="s">
        <v>1497</v>
      </c>
      <c r="D862" t="s">
        <v>22</v>
      </c>
      <c r="E862" t="s">
        <v>23</v>
      </c>
      <c r="F862">
        <v>3.91</v>
      </c>
      <c r="G862">
        <v>82291</v>
      </c>
      <c r="H862" t="s">
        <v>18</v>
      </c>
      <c r="I862">
        <v>789.87</v>
      </c>
      <c r="J862">
        <v>473.92200000000003</v>
      </c>
      <c r="K862">
        <v>6.99</v>
      </c>
      <c r="L862">
        <v>1007</v>
      </c>
      <c r="M862" t="s">
        <v>26</v>
      </c>
      <c r="N862">
        <v>2862</v>
      </c>
    </row>
    <row r="863" spans="1:14" x14ac:dyDescent="0.3">
      <c r="A863">
        <v>2003</v>
      </c>
      <c r="B863" t="s">
        <v>1498</v>
      </c>
      <c r="C863" t="s">
        <v>1499</v>
      </c>
      <c r="D863" t="s">
        <v>16</v>
      </c>
      <c r="E863" t="s">
        <v>23</v>
      </c>
      <c r="F863">
        <v>3.75</v>
      </c>
      <c r="G863">
        <v>56548</v>
      </c>
      <c r="H863" t="s">
        <v>18</v>
      </c>
      <c r="I863">
        <v>111.87</v>
      </c>
      <c r="J863">
        <v>67.122</v>
      </c>
      <c r="K863">
        <v>0.99</v>
      </c>
      <c r="L863">
        <v>1007</v>
      </c>
      <c r="M863" t="s">
        <v>26</v>
      </c>
      <c r="N863">
        <v>2862</v>
      </c>
    </row>
    <row r="864" spans="1:14" x14ac:dyDescent="0.3">
      <c r="A864">
        <v>1945</v>
      </c>
      <c r="B864" t="s">
        <v>1500</v>
      </c>
      <c r="C864" t="s">
        <v>1501</v>
      </c>
      <c r="D864" t="s">
        <v>22</v>
      </c>
      <c r="E864" t="s">
        <v>23</v>
      </c>
      <c r="F864">
        <v>3.99</v>
      </c>
      <c r="G864">
        <v>69087</v>
      </c>
      <c r="H864" t="s">
        <v>40</v>
      </c>
      <c r="I864">
        <v>224.87</v>
      </c>
      <c r="J864">
        <v>134.922</v>
      </c>
      <c r="K864">
        <v>1.99</v>
      </c>
      <c r="L864">
        <v>1008</v>
      </c>
      <c r="M864" t="s">
        <v>26</v>
      </c>
      <c r="N864">
        <v>2862</v>
      </c>
    </row>
    <row r="865" spans="1:14" x14ac:dyDescent="0.3">
      <c r="A865">
        <v>2007</v>
      </c>
      <c r="B865" t="s">
        <v>1502</v>
      </c>
      <c r="C865" t="s">
        <v>682</v>
      </c>
      <c r="D865" t="s">
        <v>16</v>
      </c>
      <c r="E865" t="s">
        <v>52</v>
      </c>
      <c r="F865">
        <v>4.41</v>
      </c>
      <c r="G865">
        <v>73534</v>
      </c>
      <c r="H865" t="s">
        <v>29</v>
      </c>
      <c r="I865">
        <v>111.87</v>
      </c>
      <c r="J865">
        <v>67.122</v>
      </c>
      <c r="K865">
        <v>0.99</v>
      </c>
      <c r="L865">
        <v>1009</v>
      </c>
      <c r="M865" t="s">
        <v>26</v>
      </c>
      <c r="N865">
        <v>2862</v>
      </c>
    </row>
    <row r="866" spans="1:14" x14ac:dyDescent="0.3">
      <c r="A866">
        <v>2014</v>
      </c>
      <c r="B866" t="s">
        <v>1503</v>
      </c>
      <c r="C866" t="s">
        <v>1504</v>
      </c>
      <c r="D866" t="s">
        <v>22</v>
      </c>
      <c r="E866" t="s">
        <v>23</v>
      </c>
      <c r="F866">
        <v>3.58</v>
      </c>
      <c r="G866">
        <v>56344</v>
      </c>
      <c r="H866" t="s">
        <v>18</v>
      </c>
      <c r="I866">
        <v>224.87</v>
      </c>
      <c r="J866">
        <v>134.922</v>
      </c>
      <c r="K866">
        <v>1.99</v>
      </c>
      <c r="L866">
        <v>1010</v>
      </c>
      <c r="M866" t="s">
        <v>19</v>
      </c>
      <c r="N866">
        <v>2862</v>
      </c>
    </row>
    <row r="867" spans="1:14" x14ac:dyDescent="0.3">
      <c r="A867">
        <v>1984</v>
      </c>
      <c r="B867" t="s">
        <v>1505</v>
      </c>
      <c r="C867" t="s">
        <v>1506</v>
      </c>
      <c r="D867" t="s">
        <v>16</v>
      </c>
      <c r="E867" t="s">
        <v>536</v>
      </c>
      <c r="F867">
        <v>4.03</v>
      </c>
      <c r="G867">
        <v>76219</v>
      </c>
      <c r="H867" t="s">
        <v>40</v>
      </c>
      <c r="I867">
        <v>992.14</v>
      </c>
      <c r="J867">
        <v>595.28399999999999</v>
      </c>
      <c r="K867">
        <v>8.7799999999999994</v>
      </c>
      <c r="L867">
        <v>1011</v>
      </c>
      <c r="M867" t="s">
        <v>65</v>
      </c>
      <c r="N867">
        <v>2862</v>
      </c>
    </row>
    <row r="868" spans="1:14" x14ac:dyDescent="0.3">
      <c r="A868">
        <v>2006</v>
      </c>
      <c r="B868" t="s">
        <v>1507</v>
      </c>
      <c r="C868" t="s">
        <v>731</v>
      </c>
      <c r="D868" t="s">
        <v>16</v>
      </c>
      <c r="E868" t="s">
        <v>536</v>
      </c>
      <c r="F868">
        <v>4.01</v>
      </c>
      <c r="G868">
        <v>103844</v>
      </c>
      <c r="H868" t="s">
        <v>40</v>
      </c>
      <c r="I868">
        <v>282.5</v>
      </c>
      <c r="J868">
        <v>169.5</v>
      </c>
      <c r="K868">
        <v>2.5</v>
      </c>
      <c r="L868">
        <v>1012</v>
      </c>
      <c r="M868" t="s">
        <v>26</v>
      </c>
      <c r="N868">
        <v>2862</v>
      </c>
    </row>
    <row r="869" spans="1:14" x14ac:dyDescent="0.3">
      <c r="A869">
        <v>2006</v>
      </c>
      <c r="B869" t="s">
        <v>1508</v>
      </c>
      <c r="C869" t="s">
        <v>484</v>
      </c>
      <c r="D869" t="s">
        <v>16</v>
      </c>
      <c r="E869" t="s">
        <v>23</v>
      </c>
      <c r="F869">
        <v>3.59</v>
      </c>
      <c r="G869">
        <v>85873</v>
      </c>
      <c r="H869" t="s">
        <v>18</v>
      </c>
      <c r="I869">
        <v>110.88</v>
      </c>
      <c r="J869">
        <v>66.528000000000006</v>
      </c>
      <c r="K869">
        <v>0.99</v>
      </c>
      <c r="L869">
        <v>1013</v>
      </c>
      <c r="M869" t="s">
        <v>26</v>
      </c>
      <c r="N869">
        <v>2862</v>
      </c>
    </row>
    <row r="870" spans="1:14" x14ac:dyDescent="0.3">
      <c r="A870">
        <v>2005</v>
      </c>
      <c r="B870" t="s">
        <v>1509</v>
      </c>
      <c r="C870" t="s">
        <v>1266</v>
      </c>
      <c r="D870" t="s">
        <v>16</v>
      </c>
      <c r="E870" t="s">
        <v>536</v>
      </c>
      <c r="F870">
        <v>4.28</v>
      </c>
      <c r="G870">
        <v>74156</v>
      </c>
      <c r="H870" t="s">
        <v>40</v>
      </c>
      <c r="I870">
        <v>838.88</v>
      </c>
      <c r="J870">
        <v>503.32799999999997</v>
      </c>
      <c r="K870">
        <v>7.49</v>
      </c>
      <c r="L870">
        <v>1015</v>
      </c>
      <c r="M870" t="s">
        <v>133</v>
      </c>
      <c r="N870">
        <v>2862</v>
      </c>
    </row>
    <row r="871" spans="1:14" x14ac:dyDescent="0.3">
      <c r="A871">
        <v>2014</v>
      </c>
      <c r="B871" t="s">
        <v>1510</v>
      </c>
      <c r="C871" t="s">
        <v>834</v>
      </c>
      <c r="D871" t="s">
        <v>22</v>
      </c>
      <c r="E871" t="s">
        <v>536</v>
      </c>
      <c r="F871">
        <v>4.1500000000000004</v>
      </c>
      <c r="G871">
        <v>63027</v>
      </c>
      <c r="H871" t="s">
        <v>18</v>
      </c>
      <c r="I871">
        <v>334.88</v>
      </c>
      <c r="J871">
        <v>0</v>
      </c>
      <c r="K871">
        <v>2.99</v>
      </c>
      <c r="L871">
        <v>1019</v>
      </c>
      <c r="M871" t="s">
        <v>26</v>
      </c>
      <c r="N871">
        <v>2862</v>
      </c>
    </row>
    <row r="872" spans="1:14" x14ac:dyDescent="0.3">
      <c r="A872">
        <v>1992</v>
      </c>
      <c r="B872" t="s">
        <v>1511</v>
      </c>
      <c r="C872" t="s">
        <v>1512</v>
      </c>
      <c r="D872" t="s">
        <v>22</v>
      </c>
      <c r="E872" t="s">
        <v>23</v>
      </c>
      <c r="F872">
        <v>3.89</v>
      </c>
      <c r="G872">
        <v>66049</v>
      </c>
      <c r="H872" t="s">
        <v>18</v>
      </c>
      <c r="I872">
        <v>670.88</v>
      </c>
      <c r="J872">
        <v>0</v>
      </c>
      <c r="K872">
        <v>5.99</v>
      </c>
      <c r="L872">
        <v>1020</v>
      </c>
      <c r="M872" t="s">
        <v>26</v>
      </c>
      <c r="N872">
        <v>4480</v>
      </c>
    </row>
    <row r="873" spans="1:14" x14ac:dyDescent="0.3">
      <c r="A873">
        <v>1992</v>
      </c>
      <c r="B873" t="s">
        <v>1513</v>
      </c>
      <c r="C873" t="s">
        <v>213</v>
      </c>
      <c r="D873" t="s">
        <v>22</v>
      </c>
      <c r="E873" t="s">
        <v>536</v>
      </c>
      <c r="F873">
        <v>4.2</v>
      </c>
      <c r="G873">
        <v>78487</v>
      </c>
      <c r="H873" t="s">
        <v>40</v>
      </c>
      <c r="I873">
        <v>334.88</v>
      </c>
      <c r="J873">
        <v>200.928</v>
      </c>
      <c r="K873">
        <v>2.99</v>
      </c>
      <c r="L873">
        <v>1020</v>
      </c>
      <c r="M873" t="s">
        <v>26</v>
      </c>
      <c r="N873">
        <v>4480</v>
      </c>
    </row>
    <row r="874" spans="1:14" x14ac:dyDescent="0.3">
      <c r="A874">
        <v>2009</v>
      </c>
      <c r="B874" t="s">
        <v>1514</v>
      </c>
      <c r="C874" t="s">
        <v>1515</v>
      </c>
      <c r="D874" t="s">
        <v>16</v>
      </c>
      <c r="E874" t="s">
        <v>23</v>
      </c>
      <c r="F874">
        <v>3.92</v>
      </c>
      <c r="G874">
        <v>66287</v>
      </c>
      <c r="H874" t="s">
        <v>40</v>
      </c>
      <c r="I874">
        <v>334.88</v>
      </c>
      <c r="J874">
        <v>200.928</v>
      </c>
      <c r="K874">
        <v>2.99</v>
      </c>
      <c r="L874">
        <v>1022</v>
      </c>
      <c r="M874" t="s">
        <v>30</v>
      </c>
      <c r="N874">
        <v>4480</v>
      </c>
    </row>
    <row r="875" spans="1:14" x14ac:dyDescent="0.3">
      <c r="A875">
        <v>2011</v>
      </c>
      <c r="B875" t="s">
        <v>1516</v>
      </c>
      <c r="C875" t="s">
        <v>1517</v>
      </c>
      <c r="D875" t="s">
        <v>144</v>
      </c>
      <c r="E875" t="s">
        <v>23</v>
      </c>
      <c r="F875">
        <v>3.91</v>
      </c>
      <c r="G875">
        <v>66591</v>
      </c>
      <c r="H875" t="s">
        <v>18</v>
      </c>
      <c r="I875">
        <v>110.88</v>
      </c>
      <c r="J875">
        <v>0</v>
      </c>
      <c r="K875">
        <v>0.99</v>
      </c>
      <c r="L875">
        <v>1023</v>
      </c>
      <c r="M875" t="s">
        <v>26</v>
      </c>
      <c r="N875">
        <v>4480</v>
      </c>
    </row>
    <row r="876" spans="1:14" x14ac:dyDescent="0.3">
      <c r="A876">
        <v>2009</v>
      </c>
      <c r="B876" t="s">
        <v>1518</v>
      </c>
      <c r="C876" t="s">
        <v>107</v>
      </c>
      <c r="D876" t="s">
        <v>22</v>
      </c>
      <c r="E876" t="s">
        <v>536</v>
      </c>
      <c r="F876">
        <v>4.05</v>
      </c>
      <c r="G876">
        <v>68597</v>
      </c>
      <c r="H876" t="s">
        <v>18</v>
      </c>
      <c r="I876">
        <v>894.88</v>
      </c>
      <c r="J876">
        <v>536.928</v>
      </c>
      <c r="K876">
        <v>7.99</v>
      </c>
      <c r="L876">
        <v>1024</v>
      </c>
      <c r="M876" t="s">
        <v>65</v>
      </c>
      <c r="N876">
        <v>4480</v>
      </c>
    </row>
    <row r="877" spans="1:14" x14ac:dyDescent="0.3">
      <c r="A877">
        <v>2009</v>
      </c>
      <c r="B877" t="s">
        <v>1519</v>
      </c>
      <c r="C877" t="s">
        <v>326</v>
      </c>
      <c r="D877" t="s">
        <v>92</v>
      </c>
      <c r="E877" t="s">
        <v>536</v>
      </c>
      <c r="F877">
        <v>4.13</v>
      </c>
      <c r="G877">
        <v>66577</v>
      </c>
      <c r="H877" t="s">
        <v>18</v>
      </c>
      <c r="I877">
        <v>334.88</v>
      </c>
      <c r="J877">
        <v>0</v>
      </c>
      <c r="K877">
        <v>2.99</v>
      </c>
      <c r="L877">
        <v>1027</v>
      </c>
      <c r="M877" t="s">
        <v>26</v>
      </c>
      <c r="N877">
        <v>4480</v>
      </c>
    </row>
    <row r="878" spans="1:14" x14ac:dyDescent="0.3">
      <c r="A878">
        <v>2003</v>
      </c>
      <c r="B878" t="s">
        <v>1520</v>
      </c>
      <c r="C878" t="s">
        <v>158</v>
      </c>
      <c r="D878" t="s">
        <v>22</v>
      </c>
      <c r="E878" t="s">
        <v>23</v>
      </c>
      <c r="F878">
        <v>3.67</v>
      </c>
      <c r="G878">
        <v>61835</v>
      </c>
      <c r="H878" t="s">
        <v>40</v>
      </c>
      <c r="I878">
        <v>670.88</v>
      </c>
      <c r="J878">
        <v>402.52800000000002</v>
      </c>
      <c r="K878">
        <v>5.99</v>
      </c>
      <c r="L878">
        <v>1027</v>
      </c>
      <c r="M878" t="s">
        <v>19</v>
      </c>
      <c r="N878">
        <v>4480</v>
      </c>
    </row>
    <row r="879" spans="1:14" x14ac:dyDescent="0.3">
      <c r="A879">
        <v>2006</v>
      </c>
      <c r="B879" t="s">
        <v>1521</v>
      </c>
      <c r="C879" t="s">
        <v>1522</v>
      </c>
      <c r="D879" t="s">
        <v>22</v>
      </c>
      <c r="E879" t="s">
        <v>536</v>
      </c>
      <c r="F879">
        <v>4.34</v>
      </c>
      <c r="G879">
        <v>46551</v>
      </c>
      <c r="H879" t="s">
        <v>18</v>
      </c>
      <c r="I879">
        <v>446.88</v>
      </c>
      <c r="J879">
        <v>0</v>
      </c>
      <c r="K879">
        <v>3.99</v>
      </c>
      <c r="L879">
        <v>1030</v>
      </c>
      <c r="M879" t="s">
        <v>26</v>
      </c>
      <c r="N879">
        <v>4440</v>
      </c>
    </row>
    <row r="880" spans="1:14" x14ac:dyDescent="0.3">
      <c r="A880">
        <v>2008</v>
      </c>
      <c r="B880" t="s">
        <v>1523</v>
      </c>
      <c r="C880" t="s">
        <v>1011</v>
      </c>
      <c r="D880" t="s">
        <v>22</v>
      </c>
      <c r="E880" t="s">
        <v>23</v>
      </c>
      <c r="F880">
        <v>2.97</v>
      </c>
      <c r="G880">
        <v>53331</v>
      </c>
      <c r="H880" t="s">
        <v>18</v>
      </c>
      <c r="I880">
        <v>894.88</v>
      </c>
      <c r="J880">
        <v>536.928</v>
      </c>
      <c r="K880">
        <v>7.99</v>
      </c>
      <c r="L880">
        <v>1032</v>
      </c>
      <c r="M880" t="s">
        <v>45</v>
      </c>
      <c r="N880">
        <v>4440</v>
      </c>
    </row>
    <row r="881" spans="1:14" x14ac:dyDescent="0.3">
      <c r="A881">
        <v>1926</v>
      </c>
      <c r="B881" t="s">
        <v>1524</v>
      </c>
      <c r="C881" t="s">
        <v>293</v>
      </c>
      <c r="D881" t="s">
        <v>22</v>
      </c>
      <c r="E881" t="s">
        <v>536</v>
      </c>
      <c r="F881">
        <v>4.2</v>
      </c>
      <c r="G881">
        <v>71354</v>
      </c>
      <c r="H881" t="s">
        <v>40</v>
      </c>
      <c r="I881">
        <v>842.24</v>
      </c>
      <c r="J881">
        <v>505.34399999999999</v>
      </c>
      <c r="K881">
        <v>7.52</v>
      </c>
      <c r="L881">
        <v>1032</v>
      </c>
      <c r="M881" t="s">
        <v>26</v>
      </c>
      <c r="N881">
        <v>4440</v>
      </c>
    </row>
    <row r="882" spans="1:14" x14ac:dyDescent="0.3">
      <c r="A882">
        <v>1940</v>
      </c>
      <c r="B882" t="s">
        <v>1525</v>
      </c>
      <c r="C882" t="s">
        <v>1526</v>
      </c>
      <c r="D882" t="s">
        <v>22</v>
      </c>
      <c r="E882" t="s">
        <v>23</v>
      </c>
      <c r="F882">
        <v>3.96</v>
      </c>
      <c r="G882">
        <v>66194</v>
      </c>
      <c r="H882" t="s">
        <v>18</v>
      </c>
      <c r="I882">
        <v>334.88</v>
      </c>
      <c r="J882">
        <v>0</v>
      </c>
      <c r="K882">
        <v>2.99</v>
      </c>
      <c r="L882">
        <v>1033</v>
      </c>
      <c r="M882" t="s">
        <v>26</v>
      </c>
      <c r="N882">
        <v>4440</v>
      </c>
    </row>
    <row r="883" spans="1:14" x14ac:dyDescent="0.3">
      <c r="A883">
        <v>2008</v>
      </c>
      <c r="B883" t="s">
        <v>1527</v>
      </c>
      <c r="C883" t="s">
        <v>627</v>
      </c>
      <c r="D883" t="s">
        <v>16</v>
      </c>
      <c r="E883" t="s">
        <v>536</v>
      </c>
      <c r="F883">
        <v>4.2699999999999996</v>
      </c>
      <c r="G883">
        <v>66390</v>
      </c>
      <c r="H883" t="s">
        <v>18</v>
      </c>
      <c r="I883">
        <v>1326.08</v>
      </c>
      <c r="J883">
        <v>795.64800000000002</v>
      </c>
      <c r="K883">
        <v>11.84</v>
      </c>
      <c r="L883">
        <v>1033</v>
      </c>
      <c r="M883" t="s">
        <v>45</v>
      </c>
      <c r="N883">
        <v>4440</v>
      </c>
    </row>
    <row r="884" spans="1:14" x14ac:dyDescent="0.3">
      <c r="A884">
        <v>2011</v>
      </c>
      <c r="B884" t="s">
        <v>1528</v>
      </c>
      <c r="C884" t="s">
        <v>1529</v>
      </c>
      <c r="D884" t="s">
        <v>92</v>
      </c>
      <c r="E884" t="s">
        <v>536</v>
      </c>
      <c r="F884">
        <v>4.01</v>
      </c>
      <c r="G884">
        <v>74029</v>
      </c>
      <c r="H884" t="s">
        <v>18</v>
      </c>
      <c r="I884">
        <v>446.88</v>
      </c>
      <c r="J884">
        <v>0</v>
      </c>
      <c r="K884">
        <v>3.99</v>
      </c>
      <c r="L884">
        <v>1034</v>
      </c>
      <c r="M884" t="s">
        <v>26</v>
      </c>
      <c r="N884">
        <v>4440</v>
      </c>
    </row>
    <row r="885" spans="1:14" x14ac:dyDescent="0.3">
      <c r="A885">
        <v>2003</v>
      </c>
      <c r="B885" t="s">
        <v>1530</v>
      </c>
      <c r="C885" t="s">
        <v>71</v>
      </c>
      <c r="D885" t="s">
        <v>16</v>
      </c>
      <c r="E885" t="s">
        <v>23</v>
      </c>
      <c r="F885">
        <v>3.8</v>
      </c>
      <c r="G885">
        <v>62840</v>
      </c>
      <c r="H885" t="s">
        <v>18</v>
      </c>
      <c r="I885">
        <v>558.88</v>
      </c>
      <c r="J885">
        <v>0</v>
      </c>
      <c r="K885">
        <v>4.99</v>
      </c>
      <c r="L885">
        <v>1035</v>
      </c>
      <c r="M885" t="s">
        <v>26</v>
      </c>
      <c r="N885">
        <v>4440</v>
      </c>
    </row>
    <row r="886" spans="1:14" x14ac:dyDescent="0.3">
      <c r="A886">
        <v>2011</v>
      </c>
      <c r="B886" t="s">
        <v>1531</v>
      </c>
      <c r="C886" t="s">
        <v>1532</v>
      </c>
      <c r="D886" t="s">
        <v>16</v>
      </c>
      <c r="E886" t="s">
        <v>536</v>
      </c>
      <c r="F886">
        <v>4.04</v>
      </c>
      <c r="G886">
        <v>86284</v>
      </c>
      <c r="H886" t="s">
        <v>18</v>
      </c>
      <c r="I886">
        <v>110.88</v>
      </c>
      <c r="J886">
        <v>66.528000000000006</v>
      </c>
      <c r="K886">
        <v>0.99</v>
      </c>
      <c r="L886">
        <v>1036</v>
      </c>
      <c r="M886" t="s">
        <v>26</v>
      </c>
      <c r="N886">
        <v>4440</v>
      </c>
    </row>
    <row r="887" spans="1:14" x14ac:dyDescent="0.3">
      <c r="A887">
        <v>2012</v>
      </c>
      <c r="B887" t="s">
        <v>1533</v>
      </c>
      <c r="C887" t="s">
        <v>51</v>
      </c>
      <c r="D887" t="s">
        <v>16</v>
      </c>
      <c r="E887" t="s">
        <v>536</v>
      </c>
      <c r="F887">
        <v>4.3600000000000003</v>
      </c>
      <c r="G887">
        <v>86929</v>
      </c>
      <c r="H887" t="s">
        <v>18</v>
      </c>
      <c r="I887">
        <v>1230.8800000000001</v>
      </c>
      <c r="J887">
        <v>738.52800000000002</v>
      </c>
      <c r="K887">
        <v>10.99</v>
      </c>
      <c r="L887">
        <v>1037</v>
      </c>
      <c r="M887" t="s">
        <v>33</v>
      </c>
      <c r="N887">
        <v>4440</v>
      </c>
    </row>
    <row r="888" spans="1:14" x14ac:dyDescent="0.3">
      <c r="A888">
        <v>2008</v>
      </c>
      <c r="B888" t="s">
        <v>1534</v>
      </c>
      <c r="C888" t="s">
        <v>1535</v>
      </c>
      <c r="D888" t="s">
        <v>22</v>
      </c>
      <c r="E888" t="s">
        <v>17</v>
      </c>
      <c r="F888">
        <v>3.32</v>
      </c>
      <c r="G888">
        <v>63342</v>
      </c>
      <c r="H888" t="s">
        <v>18</v>
      </c>
      <c r="I888">
        <v>558.88</v>
      </c>
      <c r="J888">
        <v>335.32799999999997</v>
      </c>
      <c r="K888">
        <v>4.99</v>
      </c>
      <c r="L888">
        <v>1042</v>
      </c>
      <c r="M888" t="s">
        <v>45</v>
      </c>
      <c r="N888">
        <v>4440</v>
      </c>
    </row>
    <row r="889" spans="1:14" x14ac:dyDescent="0.3">
      <c r="A889">
        <v>1983</v>
      </c>
      <c r="B889" t="s">
        <v>1536</v>
      </c>
      <c r="C889" t="s">
        <v>1537</v>
      </c>
      <c r="D889" t="s">
        <v>22</v>
      </c>
      <c r="E889" t="s">
        <v>536</v>
      </c>
      <c r="F889">
        <v>4.13</v>
      </c>
      <c r="G889">
        <v>69616</v>
      </c>
      <c r="H889" t="s">
        <v>18</v>
      </c>
      <c r="I889">
        <v>334.88</v>
      </c>
      <c r="J889">
        <v>0</v>
      </c>
      <c r="K889">
        <v>2.99</v>
      </c>
      <c r="L889">
        <v>1042</v>
      </c>
      <c r="M889" t="s">
        <v>26</v>
      </c>
      <c r="N889">
        <v>4440</v>
      </c>
    </row>
    <row r="890" spans="1:14" x14ac:dyDescent="0.3">
      <c r="A890">
        <v>2009</v>
      </c>
      <c r="B890" t="s">
        <v>1538</v>
      </c>
      <c r="C890" t="s">
        <v>1539</v>
      </c>
      <c r="D890" t="s">
        <v>22</v>
      </c>
      <c r="E890" t="s">
        <v>52</v>
      </c>
      <c r="F890">
        <v>4.43</v>
      </c>
      <c r="G890">
        <v>57279</v>
      </c>
      <c r="H890" t="s">
        <v>18</v>
      </c>
      <c r="I890">
        <v>838.88</v>
      </c>
      <c r="J890">
        <v>503.32799999999997</v>
      </c>
      <c r="K890">
        <v>7.49</v>
      </c>
      <c r="L890">
        <v>1043</v>
      </c>
      <c r="M890" t="s">
        <v>33</v>
      </c>
      <c r="N890">
        <v>4440</v>
      </c>
    </row>
    <row r="891" spans="1:14" x14ac:dyDescent="0.3">
      <c r="A891">
        <v>1960</v>
      </c>
      <c r="B891" t="s">
        <v>1538</v>
      </c>
      <c r="C891" t="s">
        <v>1540</v>
      </c>
      <c r="D891" t="s">
        <v>22</v>
      </c>
      <c r="E891" t="s">
        <v>536</v>
      </c>
      <c r="F891">
        <v>4.1500000000000004</v>
      </c>
      <c r="G891">
        <v>64391</v>
      </c>
      <c r="H891" t="s">
        <v>18</v>
      </c>
      <c r="I891">
        <v>334.88</v>
      </c>
      <c r="J891">
        <v>200.928</v>
      </c>
      <c r="K891">
        <v>2.99</v>
      </c>
      <c r="L891">
        <v>1044</v>
      </c>
      <c r="M891" t="s">
        <v>19</v>
      </c>
      <c r="N891">
        <v>4440</v>
      </c>
    </row>
    <row r="892" spans="1:14" x14ac:dyDescent="0.3">
      <c r="A892">
        <v>2005</v>
      </c>
      <c r="B892" t="s">
        <v>1541</v>
      </c>
      <c r="C892" t="s">
        <v>104</v>
      </c>
      <c r="D892" t="s">
        <v>22</v>
      </c>
      <c r="E892" t="s">
        <v>17</v>
      </c>
      <c r="F892">
        <v>3.41</v>
      </c>
      <c r="G892">
        <v>59843</v>
      </c>
      <c r="H892" t="s">
        <v>40</v>
      </c>
      <c r="I892">
        <v>446.88</v>
      </c>
      <c r="J892">
        <v>268.12799999999999</v>
      </c>
      <c r="K892">
        <v>3.99</v>
      </c>
      <c r="L892">
        <v>1046</v>
      </c>
      <c r="M892" t="s">
        <v>30</v>
      </c>
      <c r="N892">
        <v>4440</v>
      </c>
    </row>
    <row r="893" spans="1:14" x14ac:dyDescent="0.3">
      <c r="A893">
        <v>1993</v>
      </c>
      <c r="B893" t="s">
        <v>1542</v>
      </c>
      <c r="C893" t="s">
        <v>1543</v>
      </c>
      <c r="D893" t="s">
        <v>22</v>
      </c>
      <c r="E893" t="s">
        <v>536</v>
      </c>
      <c r="F893">
        <v>4.16</v>
      </c>
      <c r="G893">
        <v>62330</v>
      </c>
      <c r="H893" t="s">
        <v>18</v>
      </c>
      <c r="I893">
        <v>670.88</v>
      </c>
      <c r="J893">
        <v>0</v>
      </c>
      <c r="K893">
        <v>5.99</v>
      </c>
      <c r="L893">
        <v>1048</v>
      </c>
      <c r="M893" t="s">
        <v>26</v>
      </c>
      <c r="N893">
        <v>4400</v>
      </c>
    </row>
    <row r="894" spans="1:14" x14ac:dyDescent="0.3">
      <c r="A894">
        <v>1995</v>
      </c>
      <c r="B894" t="s">
        <v>1544</v>
      </c>
      <c r="C894" t="s">
        <v>73</v>
      </c>
      <c r="D894" t="s">
        <v>22</v>
      </c>
      <c r="E894" t="s">
        <v>23</v>
      </c>
      <c r="F894">
        <v>3.66</v>
      </c>
      <c r="G894">
        <v>70921</v>
      </c>
      <c r="H894" t="s">
        <v>18</v>
      </c>
      <c r="I894">
        <v>222.88</v>
      </c>
      <c r="J894">
        <v>133.72800000000001</v>
      </c>
      <c r="K894">
        <v>1.99</v>
      </c>
      <c r="L894">
        <v>1049</v>
      </c>
      <c r="M894" t="s">
        <v>65</v>
      </c>
      <c r="N894">
        <v>4400</v>
      </c>
    </row>
    <row r="895" spans="1:14" x14ac:dyDescent="0.3">
      <c r="A895">
        <v>1998</v>
      </c>
      <c r="B895" t="s">
        <v>1545</v>
      </c>
      <c r="C895" t="s">
        <v>1447</v>
      </c>
      <c r="D895" t="s">
        <v>16</v>
      </c>
      <c r="E895" t="s">
        <v>23</v>
      </c>
      <c r="F895">
        <v>4</v>
      </c>
      <c r="G895">
        <v>62128</v>
      </c>
      <c r="H895" t="s">
        <v>18</v>
      </c>
      <c r="I895">
        <v>334.88</v>
      </c>
      <c r="J895">
        <v>200.928</v>
      </c>
      <c r="K895">
        <v>2.99</v>
      </c>
      <c r="L895">
        <v>1050</v>
      </c>
      <c r="M895" t="s">
        <v>133</v>
      </c>
      <c r="N895">
        <v>4400</v>
      </c>
    </row>
    <row r="896" spans="1:14" x14ac:dyDescent="0.3">
      <c r="A896">
        <v>2011</v>
      </c>
      <c r="B896" t="s">
        <v>1546</v>
      </c>
      <c r="C896" t="s">
        <v>1547</v>
      </c>
      <c r="D896" t="s">
        <v>16</v>
      </c>
      <c r="E896" t="s">
        <v>23</v>
      </c>
      <c r="F896">
        <v>3.95</v>
      </c>
      <c r="G896">
        <v>69709</v>
      </c>
      <c r="H896" t="s">
        <v>18</v>
      </c>
      <c r="I896">
        <v>222.88</v>
      </c>
      <c r="J896">
        <v>133.72800000000001</v>
      </c>
      <c r="K896">
        <v>1.99</v>
      </c>
      <c r="L896">
        <v>1050</v>
      </c>
      <c r="M896" t="s">
        <v>30</v>
      </c>
      <c r="N896">
        <v>4400</v>
      </c>
    </row>
    <row r="897" spans="1:14" x14ac:dyDescent="0.3">
      <c r="A897">
        <v>1999</v>
      </c>
      <c r="B897" t="s">
        <v>1548</v>
      </c>
      <c r="C897" t="s">
        <v>194</v>
      </c>
      <c r="D897" t="s">
        <v>16</v>
      </c>
      <c r="E897" t="s">
        <v>23</v>
      </c>
      <c r="F897">
        <v>3.79</v>
      </c>
      <c r="G897">
        <v>62405</v>
      </c>
      <c r="H897" t="s">
        <v>18</v>
      </c>
      <c r="I897">
        <v>109.89</v>
      </c>
      <c r="J897">
        <v>0</v>
      </c>
      <c r="K897">
        <v>0.99</v>
      </c>
      <c r="L897">
        <v>1052</v>
      </c>
      <c r="M897" t="s">
        <v>26</v>
      </c>
      <c r="N897">
        <v>4400</v>
      </c>
    </row>
    <row r="898" spans="1:14" x14ac:dyDescent="0.3">
      <c r="A898">
        <v>2007</v>
      </c>
      <c r="B898" t="s">
        <v>1549</v>
      </c>
      <c r="C898" t="s">
        <v>1515</v>
      </c>
      <c r="D898" t="s">
        <v>16</v>
      </c>
      <c r="E898" t="s">
        <v>23</v>
      </c>
      <c r="F898">
        <v>3.82</v>
      </c>
      <c r="G898">
        <v>65005</v>
      </c>
      <c r="H898" t="s">
        <v>18</v>
      </c>
      <c r="I898">
        <v>331.89</v>
      </c>
      <c r="J898">
        <v>0</v>
      </c>
      <c r="K898">
        <v>2.99</v>
      </c>
      <c r="L898">
        <v>1052</v>
      </c>
      <c r="M898" t="s">
        <v>26</v>
      </c>
      <c r="N898">
        <v>4400</v>
      </c>
    </row>
    <row r="899" spans="1:14" x14ac:dyDescent="0.3">
      <c r="A899">
        <v>2010</v>
      </c>
      <c r="B899" t="s">
        <v>1550</v>
      </c>
      <c r="C899" t="s">
        <v>939</v>
      </c>
      <c r="D899" t="s">
        <v>22</v>
      </c>
      <c r="E899" t="s">
        <v>536</v>
      </c>
      <c r="F899">
        <v>4.21</v>
      </c>
      <c r="G899">
        <v>63347</v>
      </c>
      <c r="H899" t="s">
        <v>40</v>
      </c>
      <c r="I899">
        <v>1330.89</v>
      </c>
      <c r="J899">
        <v>798.53399999999999</v>
      </c>
      <c r="K899">
        <v>11.99</v>
      </c>
      <c r="L899">
        <v>1053</v>
      </c>
      <c r="M899" t="s">
        <v>33</v>
      </c>
      <c r="N899">
        <v>4400</v>
      </c>
    </row>
    <row r="900" spans="1:14" x14ac:dyDescent="0.3">
      <c r="A900">
        <v>2008</v>
      </c>
      <c r="B900" t="s">
        <v>1551</v>
      </c>
      <c r="C900" t="s">
        <v>627</v>
      </c>
      <c r="D900" t="s">
        <v>22</v>
      </c>
      <c r="E900" t="s">
        <v>536</v>
      </c>
      <c r="F900">
        <v>4.29</v>
      </c>
      <c r="G900">
        <v>64961</v>
      </c>
      <c r="H900" t="s">
        <v>29</v>
      </c>
      <c r="I900">
        <v>442.89</v>
      </c>
      <c r="J900">
        <v>0</v>
      </c>
      <c r="K900">
        <v>3.99</v>
      </c>
      <c r="L900">
        <v>1054</v>
      </c>
      <c r="M900" t="s">
        <v>26</v>
      </c>
      <c r="N900">
        <v>4400</v>
      </c>
    </row>
    <row r="901" spans="1:14" x14ac:dyDescent="0.3">
      <c r="A901">
        <v>2005</v>
      </c>
      <c r="B901" t="s">
        <v>1551</v>
      </c>
      <c r="C901" t="s">
        <v>1535</v>
      </c>
      <c r="D901" t="s">
        <v>16</v>
      </c>
      <c r="E901" t="s">
        <v>17</v>
      </c>
      <c r="F901">
        <v>3.39</v>
      </c>
      <c r="G901">
        <v>59932</v>
      </c>
      <c r="H901" t="s">
        <v>18</v>
      </c>
      <c r="I901">
        <v>109.89</v>
      </c>
      <c r="J901">
        <v>0</v>
      </c>
      <c r="K901">
        <v>0.99</v>
      </c>
      <c r="L901">
        <v>1055</v>
      </c>
      <c r="M901" t="s">
        <v>26</v>
      </c>
      <c r="N901">
        <v>4400</v>
      </c>
    </row>
    <row r="902" spans="1:14" x14ac:dyDescent="0.3">
      <c r="A902">
        <v>1986</v>
      </c>
      <c r="B902" t="s">
        <v>1552</v>
      </c>
      <c r="C902" t="s">
        <v>1553</v>
      </c>
      <c r="D902" t="s">
        <v>22</v>
      </c>
      <c r="E902" t="s">
        <v>536</v>
      </c>
      <c r="F902">
        <v>4.1100000000000003</v>
      </c>
      <c r="G902">
        <v>73918</v>
      </c>
      <c r="H902" t="s">
        <v>18</v>
      </c>
      <c r="I902">
        <v>331.89</v>
      </c>
      <c r="J902">
        <v>0</v>
      </c>
      <c r="K902">
        <v>2.99</v>
      </c>
      <c r="L902">
        <v>1056</v>
      </c>
      <c r="M902" t="s">
        <v>26</v>
      </c>
      <c r="N902">
        <v>4400</v>
      </c>
    </row>
    <row r="903" spans="1:14" x14ac:dyDescent="0.3">
      <c r="A903">
        <v>1848</v>
      </c>
      <c r="B903" t="s">
        <v>1554</v>
      </c>
      <c r="C903" t="s">
        <v>1555</v>
      </c>
      <c r="D903" t="s">
        <v>22</v>
      </c>
      <c r="E903" t="s">
        <v>23</v>
      </c>
      <c r="F903">
        <v>3.51</v>
      </c>
      <c r="G903">
        <v>56464</v>
      </c>
      <c r="H903" t="s">
        <v>18</v>
      </c>
      <c r="I903">
        <v>331.89</v>
      </c>
      <c r="J903">
        <v>0</v>
      </c>
      <c r="K903">
        <v>2.99</v>
      </c>
      <c r="L903">
        <v>1057</v>
      </c>
      <c r="M903" t="s">
        <v>26</v>
      </c>
      <c r="N903">
        <v>4400</v>
      </c>
    </row>
    <row r="904" spans="1:14" x14ac:dyDescent="0.3">
      <c r="A904">
        <v>2016</v>
      </c>
      <c r="B904" t="s">
        <v>1556</v>
      </c>
      <c r="C904" t="s">
        <v>1557</v>
      </c>
      <c r="D904" t="s">
        <v>22</v>
      </c>
      <c r="E904" t="s">
        <v>23</v>
      </c>
      <c r="F904">
        <v>3.67</v>
      </c>
      <c r="G904">
        <v>90541</v>
      </c>
      <c r="H904" t="s">
        <v>40</v>
      </c>
      <c r="I904">
        <v>109.89</v>
      </c>
      <c r="J904">
        <v>65.933999999999997</v>
      </c>
      <c r="K904">
        <v>0.99</v>
      </c>
      <c r="L904">
        <v>1058</v>
      </c>
      <c r="M904" t="s">
        <v>26</v>
      </c>
      <c r="N904">
        <v>4400</v>
      </c>
    </row>
    <row r="905" spans="1:14" x14ac:dyDescent="0.3">
      <c r="A905">
        <v>1826</v>
      </c>
      <c r="B905" t="s">
        <v>1558</v>
      </c>
      <c r="C905" t="s">
        <v>1559</v>
      </c>
      <c r="D905" t="s">
        <v>22</v>
      </c>
      <c r="E905" t="s">
        <v>23</v>
      </c>
      <c r="F905">
        <v>3.69</v>
      </c>
      <c r="G905">
        <v>67632</v>
      </c>
      <c r="H905" t="s">
        <v>18</v>
      </c>
      <c r="I905">
        <v>109.89</v>
      </c>
      <c r="J905">
        <v>0</v>
      </c>
      <c r="K905">
        <v>0.99</v>
      </c>
      <c r="L905">
        <v>1058</v>
      </c>
      <c r="M905" t="s">
        <v>26</v>
      </c>
      <c r="N905">
        <v>4400</v>
      </c>
    </row>
    <row r="906" spans="1:14" x14ac:dyDescent="0.3">
      <c r="A906">
        <v>1979</v>
      </c>
      <c r="B906" t="s">
        <v>1560</v>
      </c>
      <c r="C906" t="s">
        <v>1561</v>
      </c>
      <c r="D906" t="s">
        <v>22</v>
      </c>
      <c r="E906" t="s">
        <v>536</v>
      </c>
      <c r="F906">
        <v>4.18</v>
      </c>
      <c r="G906">
        <v>66923</v>
      </c>
      <c r="H906" t="s">
        <v>40</v>
      </c>
      <c r="I906">
        <v>220.89</v>
      </c>
      <c r="J906">
        <v>132.53399999999999</v>
      </c>
      <c r="K906">
        <v>1.99</v>
      </c>
      <c r="L906">
        <v>1059</v>
      </c>
      <c r="M906" t="s">
        <v>26</v>
      </c>
      <c r="N906">
        <v>4400</v>
      </c>
    </row>
    <row r="907" spans="1:14" x14ac:dyDescent="0.3">
      <c r="A907">
        <v>2004</v>
      </c>
      <c r="B907" t="s">
        <v>1562</v>
      </c>
      <c r="C907" t="s">
        <v>226</v>
      </c>
      <c r="D907" t="s">
        <v>22</v>
      </c>
      <c r="E907" t="s">
        <v>23</v>
      </c>
      <c r="F907">
        <v>3.64</v>
      </c>
      <c r="G907">
        <v>69007</v>
      </c>
      <c r="H907" t="s">
        <v>18</v>
      </c>
      <c r="I907">
        <v>331.89</v>
      </c>
      <c r="J907">
        <v>0</v>
      </c>
      <c r="K907">
        <v>2.99</v>
      </c>
      <c r="L907">
        <v>1059</v>
      </c>
      <c r="M907" t="s">
        <v>26</v>
      </c>
      <c r="N907">
        <v>4400</v>
      </c>
    </row>
    <row r="908" spans="1:14" x14ac:dyDescent="0.3">
      <c r="A908">
        <v>2010</v>
      </c>
      <c r="B908" t="s">
        <v>1563</v>
      </c>
      <c r="C908" t="s">
        <v>440</v>
      </c>
      <c r="D908" t="s">
        <v>22</v>
      </c>
      <c r="E908" t="s">
        <v>536</v>
      </c>
      <c r="F908">
        <v>4.13</v>
      </c>
      <c r="G908">
        <v>93340</v>
      </c>
      <c r="H908" t="s">
        <v>18</v>
      </c>
      <c r="I908">
        <v>331.89</v>
      </c>
      <c r="J908">
        <v>0</v>
      </c>
      <c r="K908">
        <v>2.99</v>
      </c>
      <c r="L908">
        <v>1060</v>
      </c>
      <c r="M908" t="s">
        <v>26</v>
      </c>
      <c r="N908">
        <v>4400</v>
      </c>
    </row>
    <row r="909" spans="1:14" x14ac:dyDescent="0.3">
      <c r="A909">
        <v>2000</v>
      </c>
      <c r="B909" t="s">
        <v>1564</v>
      </c>
      <c r="C909" t="s">
        <v>1565</v>
      </c>
      <c r="D909" t="s">
        <v>22</v>
      </c>
      <c r="E909" t="s">
        <v>23</v>
      </c>
      <c r="F909">
        <v>3.92</v>
      </c>
      <c r="G909">
        <v>57468</v>
      </c>
      <c r="H909" t="s">
        <v>40</v>
      </c>
      <c r="I909">
        <v>899.1</v>
      </c>
      <c r="J909">
        <v>539.46</v>
      </c>
      <c r="K909">
        <v>8.1</v>
      </c>
      <c r="L909">
        <v>1061</v>
      </c>
      <c r="M909" t="s">
        <v>26</v>
      </c>
      <c r="N909">
        <v>4400</v>
      </c>
    </row>
    <row r="910" spans="1:14" x14ac:dyDescent="0.3">
      <c r="A910">
        <v>2012</v>
      </c>
      <c r="B910" t="s">
        <v>1566</v>
      </c>
      <c r="C910" t="s">
        <v>1567</v>
      </c>
      <c r="D910" t="s">
        <v>22</v>
      </c>
      <c r="E910" t="s">
        <v>23</v>
      </c>
      <c r="F910">
        <v>3.64</v>
      </c>
      <c r="G910">
        <v>61296</v>
      </c>
      <c r="H910" t="s">
        <v>18</v>
      </c>
      <c r="I910">
        <v>1314.24</v>
      </c>
      <c r="J910">
        <v>788.54399999999998</v>
      </c>
      <c r="K910">
        <v>11.84</v>
      </c>
      <c r="L910">
        <v>1062</v>
      </c>
      <c r="M910" t="s">
        <v>45</v>
      </c>
      <c r="N910">
        <v>4400</v>
      </c>
    </row>
    <row r="911" spans="1:14" x14ac:dyDescent="0.3">
      <c r="A911">
        <v>2009</v>
      </c>
      <c r="B911" t="s">
        <v>1568</v>
      </c>
      <c r="C911" t="s">
        <v>489</v>
      </c>
      <c r="D911" t="s">
        <v>16</v>
      </c>
      <c r="E911" t="s">
        <v>536</v>
      </c>
      <c r="F911">
        <v>4.16</v>
      </c>
      <c r="G911">
        <v>60002</v>
      </c>
      <c r="H911" t="s">
        <v>40</v>
      </c>
      <c r="I911">
        <v>220.89</v>
      </c>
      <c r="J911">
        <v>132.53399999999999</v>
      </c>
      <c r="K911">
        <v>1.99</v>
      </c>
      <c r="L911">
        <v>1066</v>
      </c>
      <c r="M911" t="s">
        <v>30</v>
      </c>
      <c r="N911">
        <v>4400</v>
      </c>
    </row>
    <row r="912" spans="1:14" x14ac:dyDescent="0.3">
      <c r="A912">
        <v>2006</v>
      </c>
      <c r="B912" t="s">
        <v>1569</v>
      </c>
      <c r="C912" t="s">
        <v>1570</v>
      </c>
      <c r="D912" t="s">
        <v>22</v>
      </c>
      <c r="E912" t="s">
        <v>536</v>
      </c>
      <c r="F912">
        <v>4.16</v>
      </c>
      <c r="G912">
        <v>63100</v>
      </c>
      <c r="H912" t="s">
        <v>18</v>
      </c>
      <c r="I912">
        <v>1330.89</v>
      </c>
      <c r="J912">
        <v>798.53399999999999</v>
      </c>
      <c r="K912">
        <v>11.99</v>
      </c>
      <c r="L912">
        <v>1066</v>
      </c>
      <c r="M912" t="s">
        <v>33</v>
      </c>
      <c r="N912">
        <v>4400</v>
      </c>
    </row>
    <row r="913" spans="1:14" x14ac:dyDescent="0.3">
      <c r="A913">
        <v>2014</v>
      </c>
      <c r="B913" t="s">
        <v>1571</v>
      </c>
      <c r="C913" t="s">
        <v>1572</v>
      </c>
      <c r="D913" t="s">
        <v>22</v>
      </c>
      <c r="E913" t="s">
        <v>23</v>
      </c>
      <c r="F913">
        <v>3.56</v>
      </c>
      <c r="G913">
        <v>27308</v>
      </c>
      <c r="H913" t="s">
        <v>18</v>
      </c>
      <c r="I913">
        <v>1225.44</v>
      </c>
      <c r="J913">
        <v>735.26400000000001</v>
      </c>
      <c r="K913">
        <v>11.04</v>
      </c>
      <c r="L913">
        <v>1068</v>
      </c>
      <c r="M913" t="s">
        <v>133</v>
      </c>
      <c r="N913">
        <v>4360</v>
      </c>
    </row>
    <row r="914" spans="1:14" x14ac:dyDescent="0.3">
      <c r="A914">
        <v>2011</v>
      </c>
      <c r="B914" t="s">
        <v>1573</v>
      </c>
      <c r="C914" t="s">
        <v>1062</v>
      </c>
      <c r="D914" t="s">
        <v>22</v>
      </c>
      <c r="E914" t="s">
        <v>23</v>
      </c>
      <c r="F914">
        <v>3.98</v>
      </c>
      <c r="G914">
        <v>50158</v>
      </c>
      <c r="H914" t="s">
        <v>18</v>
      </c>
      <c r="I914">
        <v>109.89</v>
      </c>
      <c r="J914">
        <v>65.933999999999997</v>
      </c>
      <c r="K914">
        <v>0.99</v>
      </c>
      <c r="L914">
        <v>1069</v>
      </c>
      <c r="M914" t="s">
        <v>26</v>
      </c>
      <c r="N914">
        <v>4360</v>
      </c>
    </row>
    <row r="915" spans="1:14" x14ac:dyDescent="0.3">
      <c r="A915">
        <v>1982</v>
      </c>
      <c r="B915" t="s">
        <v>1574</v>
      </c>
      <c r="C915" t="s">
        <v>1389</v>
      </c>
      <c r="D915" t="s">
        <v>16</v>
      </c>
      <c r="E915" t="s">
        <v>536</v>
      </c>
      <c r="F915">
        <v>4.16</v>
      </c>
      <c r="G915">
        <v>54140</v>
      </c>
      <c r="H915" t="s">
        <v>18</v>
      </c>
      <c r="I915">
        <v>196.47</v>
      </c>
      <c r="J915">
        <v>0</v>
      </c>
      <c r="K915">
        <v>1.77</v>
      </c>
      <c r="L915">
        <v>1071</v>
      </c>
      <c r="M915" t="s">
        <v>26</v>
      </c>
      <c r="N915">
        <v>4360</v>
      </c>
    </row>
    <row r="916" spans="1:14" x14ac:dyDescent="0.3">
      <c r="A916">
        <v>2001</v>
      </c>
      <c r="B916" t="s">
        <v>1575</v>
      </c>
      <c r="C916" t="s">
        <v>1576</v>
      </c>
      <c r="D916" t="s">
        <v>16</v>
      </c>
      <c r="E916" t="s">
        <v>23</v>
      </c>
      <c r="F916">
        <v>3.94</v>
      </c>
      <c r="G916">
        <v>79264</v>
      </c>
      <c r="H916" t="s">
        <v>40</v>
      </c>
      <c r="I916">
        <v>109.89</v>
      </c>
      <c r="J916">
        <v>0</v>
      </c>
      <c r="K916">
        <v>0.99</v>
      </c>
      <c r="L916">
        <v>1072</v>
      </c>
      <c r="M916" t="s">
        <v>26</v>
      </c>
      <c r="N916">
        <v>4360</v>
      </c>
    </row>
    <row r="917" spans="1:14" x14ac:dyDescent="0.3">
      <c r="A917">
        <v>2003</v>
      </c>
      <c r="B917" t="s">
        <v>1577</v>
      </c>
      <c r="C917" t="s">
        <v>1578</v>
      </c>
      <c r="D917" t="s">
        <v>22</v>
      </c>
      <c r="E917" t="s">
        <v>23</v>
      </c>
      <c r="F917">
        <v>3.81</v>
      </c>
      <c r="G917">
        <v>53384</v>
      </c>
      <c r="H917" t="s">
        <v>18</v>
      </c>
      <c r="I917">
        <v>109.89</v>
      </c>
      <c r="J917">
        <v>0</v>
      </c>
      <c r="K917">
        <v>0.99</v>
      </c>
      <c r="L917">
        <v>1073</v>
      </c>
      <c r="M917" t="s">
        <v>26</v>
      </c>
      <c r="N917">
        <v>4360</v>
      </c>
    </row>
    <row r="918" spans="1:14" x14ac:dyDescent="0.3">
      <c r="A918">
        <v>1941</v>
      </c>
      <c r="B918" t="s">
        <v>1579</v>
      </c>
      <c r="C918" t="s">
        <v>1580</v>
      </c>
      <c r="D918" t="s">
        <v>22</v>
      </c>
      <c r="E918" t="s">
        <v>536</v>
      </c>
      <c r="F918">
        <v>4.21</v>
      </c>
      <c r="G918">
        <v>70704</v>
      </c>
      <c r="H918" t="s">
        <v>40</v>
      </c>
      <c r="I918">
        <v>637.14</v>
      </c>
      <c r="J918">
        <v>382.28399999999999</v>
      </c>
      <c r="K918">
        <v>5.74</v>
      </c>
      <c r="L918">
        <v>1074</v>
      </c>
      <c r="M918" t="s">
        <v>19</v>
      </c>
      <c r="N918">
        <v>4360</v>
      </c>
    </row>
    <row r="919" spans="1:14" x14ac:dyDescent="0.3">
      <c r="A919">
        <v>1995</v>
      </c>
      <c r="B919" t="s">
        <v>1581</v>
      </c>
      <c r="C919" t="s">
        <v>1582</v>
      </c>
      <c r="D919" t="s">
        <v>22</v>
      </c>
      <c r="E919" t="s">
        <v>536</v>
      </c>
      <c r="F919">
        <v>4.01</v>
      </c>
      <c r="G919">
        <v>68011</v>
      </c>
      <c r="H919" t="s">
        <v>18</v>
      </c>
      <c r="I919">
        <v>858.03</v>
      </c>
      <c r="J919">
        <v>514.81799999999998</v>
      </c>
      <c r="K919">
        <v>7.73</v>
      </c>
      <c r="L919">
        <v>1075</v>
      </c>
      <c r="M919" t="s">
        <v>30</v>
      </c>
      <c r="N919">
        <v>4360</v>
      </c>
    </row>
    <row r="920" spans="1:14" x14ac:dyDescent="0.3">
      <c r="A920">
        <v>1995</v>
      </c>
      <c r="B920" t="s">
        <v>1583</v>
      </c>
      <c r="C920" t="s">
        <v>1584</v>
      </c>
      <c r="D920" t="s">
        <v>22</v>
      </c>
      <c r="E920" t="s">
        <v>23</v>
      </c>
      <c r="F920">
        <v>3.91</v>
      </c>
      <c r="G920">
        <v>66947</v>
      </c>
      <c r="H920" t="s">
        <v>18</v>
      </c>
      <c r="I920">
        <v>442.89</v>
      </c>
      <c r="J920">
        <v>0</v>
      </c>
      <c r="K920">
        <v>3.99</v>
      </c>
      <c r="L920">
        <v>1076</v>
      </c>
      <c r="M920" t="s">
        <v>26</v>
      </c>
      <c r="N920">
        <v>4360</v>
      </c>
    </row>
    <row r="921" spans="1:14" x14ac:dyDescent="0.3">
      <c r="A921">
        <v>2008</v>
      </c>
      <c r="B921" t="s">
        <v>1585</v>
      </c>
      <c r="C921" t="s">
        <v>682</v>
      </c>
      <c r="D921" t="s">
        <v>16</v>
      </c>
      <c r="E921" t="s">
        <v>52</v>
      </c>
      <c r="F921">
        <v>4.43</v>
      </c>
      <c r="G921">
        <v>70029</v>
      </c>
      <c r="H921" t="s">
        <v>40</v>
      </c>
      <c r="I921">
        <v>1219.8900000000001</v>
      </c>
      <c r="J921">
        <v>731.93399999999997</v>
      </c>
      <c r="K921">
        <v>10.99</v>
      </c>
      <c r="L921">
        <v>1077</v>
      </c>
      <c r="M921" t="s">
        <v>45</v>
      </c>
      <c r="N921">
        <v>4360</v>
      </c>
    </row>
    <row r="922" spans="1:14" x14ac:dyDescent="0.3">
      <c r="A922">
        <v>2009</v>
      </c>
      <c r="B922" t="s">
        <v>1586</v>
      </c>
      <c r="C922" t="s">
        <v>1587</v>
      </c>
      <c r="D922" t="s">
        <v>22</v>
      </c>
      <c r="E922" t="s">
        <v>52</v>
      </c>
      <c r="F922">
        <v>4.43</v>
      </c>
      <c r="G922">
        <v>57764</v>
      </c>
      <c r="H922" t="s">
        <v>18</v>
      </c>
      <c r="I922">
        <v>331.89</v>
      </c>
      <c r="J922">
        <v>0</v>
      </c>
      <c r="K922">
        <v>2.99</v>
      </c>
      <c r="L922">
        <v>1078</v>
      </c>
      <c r="M922" t="s">
        <v>26</v>
      </c>
      <c r="N922">
        <v>4360</v>
      </c>
    </row>
    <row r="923" spans="1:14" x14ac:dyDescent="0.3">
      <c r="A923">
        <v>2005</v>
      </c>
      <c r="B923" t="s">
        <v>1588</v>
      </c>
      <c r="C923" t="s">
        <v>1156</v>
      </c>
      <c r="D923" t="s">
        <v>22</v>
      </c>
      <c r="E923" t="s">
        <v>536</v>
      </c>
      <c r="F923">
        <v>4.01</v>
      </c>
      <c r="G923">
        <v>82470</v>
      </c>
      <c r="H923" t="s">
        <v>18</v>
      </c>
      <c r="I923">
        <v>1414.14</v>
      </c>
      <c r="J923">
        <v>848.48400000000004</v>
      </c>
      <c r="K923">
        <v>12.74</v>
      </c>
      <c r="L923">
        <v>1080</v>
      </c>
      <c r="M923" t="s">
        <v>65</v>
      </c>
      <c r="N923">
        <v>4360</v>
      </c>
    </row>
    <row r="924" spans="1:14" x14ac:dyDescent="0.3">
      <c r="A924">
        <v>2015</v>
      </c>
      <c r="B924" t="s">
        <v>1589</v>
      </c>
      <c r="C924" t="s">
        <v>1590</v>
      </c>
      <c r="D924" t="s">
        <v>22</v>
      </c>
      <c r="E924" t="s">
        <v>536</v>
      </c>
      <c r="F924">
        <v>4.1100000000000003</v>
      </c>
      <c r="G924">
        <v>132552</v>
      </c>
      <c r="H924" t="s">
        <v>18</v>
      </c>
      <c r="I924">
        <v>331.89</v>
      </c>
      <c r="J924">
        <v>0</v>
      </c>
      <c r="K924">
        <v>2.99</v>
      </c>
      <c r="L924">
        <v>1081</v>
      </c>
      <c r="M924" t="s">
        <v>26</v>
      </c>
      <c r="N924">
        <v>4360</v>
      </c>
    </row>
    <row r="925" spans="1:14" x14ac:dyDescent="0.3">
      <c r="A925">
        <v>1912</v>
      </c>
      <c r="B925" t="s">
        <v>1591</v>
      </c>
      <c r="C925" t="s">
        <v>1592</v>
      </c>
      <c r="D925" t="s">
        <v>16</v>
      </c>
      <c r="E925" t="s">
        <v>23</v>
      </c>
      <c r="F925">
        <v>3.9</v>
      </c>
      <c r="G925">
        <v>70079</v>
      </c>
      <c r="H925" t="s">
        <v>18</v>
      </c>
      <c r="I925">
        <v>331.89</v>
      </c>
      <c r="J925">
        <v>0</v>
      </c>
      <c r="K925">
        <v>2.99</v>
      </c>
      <c r="L925">
        <v>1082</v>
      </c>
      <c r="M925" t="s">
        <v>26</v>
      </c>
      <c r="N925">
        <v>4360</v>
      </c>
    </row>
    <row r="926" spans="1:14" x14ac:dyDescent="0.3">
      <c r="A926">
        <v>2012</v>
      </c>
      <c r="B926" t="s">
        <v>1593</v>
      </c>
      <c r="C926" t="s">
        <v>629</v>
      </c>
      <c r="D926" t="s">
        <v>22</v>
      </c>
      <c r="E926" t="s">
        <v>23</v>
      </c>
      <c r="F926">
        <v>3.75</v>
      </c>
      <c r="G926">
        <v>57078</v>
      </c>
      <c r="H926" t="s">
        <v>18</v>
      </c>
      <c r="I926">
        <v>109.89</v>
      </c>
      <c r="J926">
        <v>65.933999999999997</v>
      </c>
      <c r="K926">
        <v>0.99</v>
      </c>
      <c r="L926">
        <v>1085</v>
      </c>
      <c r="M926" t="s">
        <v>26</v>
      </c>
      <c r="N926">
        <v>4360</v>
      </c>
    </row>
    <row r="927" spans="1:14" x14ac:dyDescent="0.3">
      <c r="A927">
        <v>2008</v>
      </c>
      <c r="B927" t="s">
        <v>1594</v>
      </c>
      <c r="C927" t="s">
        <v>923</v>
      </c>
      <c r="D927" t="s">
        <v>22</v>
      </c>
      <c r="E927" t="s">
        <v>536</v>
      </c>
      <c r="F927">
        <v>4.26</v>
      </c>
      <c r="G927">
        <v>65638</v>
      </c>
      <c r="H927" t="s">
        <v>18</v>
      </c>
      <c r="I927">
        <v>548.9</v>
      </c>
      <c r="J927">
        <v>0</v>
      </c>
      <c r="K927">
        <v>4.99</v>
      </c>
      <c r="L927">
        <v>1089</v>
      </c>
      <c r="M927" t="s">
        <v>26</v>
      </c>
      <c r="N927">
        <v>4360</v>
      </c>
    </row>
    <row r="928" spans="1:14" x14ac:dyDescent="0.3">
      <c r="A928">
        <v>1999</v>
      </c>
      <c r="B928" t="s">
        <v>1595</v>
      </c>
      <c r="C928" t="s">
        <v>1596</v>
      </c>
      <c r="D928" t="s">
        <v>22</v>
      </c>
      <c r="E928" t="s">
        <v>23</v>
      </c>
      <c r="F928">
        <v>3.53</v>
      </c>
      <c r="G928">
        <v>73093</v>
      </c>
      <c r="H928" t="s">
        <v>40</v>
      </c>
      <c r="I928">
        <v>1098.9000000000001</v>
      </c>
      <c r="J928">
        <v>659.34</v>
      </c>
      <c r="K928">
        <v>9.99</v>
      </c>
      <c r="L928">
        <v>1090</v>
      </c>
      <c r="M928" t="s">
        <v>26</v>
      </c>
      <c r="N928">
        <v>4360</v>
      </c>
    </row>
    <row r="929" spans="1:14" x14ac:dyDescent="0.3">
      <c r="A929">
        <v>1994</v>
      </c>
      <c r="B929" t="s">
        <v>1597</v>
      </c>
      <c r="C929" t="s">
        <v>1598</v>
      </c>
      <c r="D929" t="s">
        <v>22</v>
      </c>
      <c r="E929" t="s">
        <v>23</v>
      </c>
      <c r="F929">
        <v>3.95</v>
      </c>
      <c r="G929">
        <v>57583</v>
      </c>
      <c r="H929" t="s">
        <v>18</v>
      </c>
      <c r="I929">
        <v>108.9</v>
      </c>
      <c r="J929">
        <v>65.34</v>
      </c>
      <c r="K929">
        <v>0.99</v>
      </c>
      <c r="L929">
        <v>1091</v>
      </c>
      <c r="M929" t="s">
        <v>26</v>
      </c>
      <c r="N929">
        <v>4360</v>
      </c>
    </row>
    <row r="930" spans="1:14" x14ac:dyDescent="0.3">
      <c r="A930">
        <v>2004</v>
      </c>
      <c r="B930" t="s">
        <v>1599</v>
      </c>
      <c r="C930" t="s">
        <v>71</v>
      </c>
      <c r="D930" t="s">
        <v>16</v>
      </c>
      <c r="E930" t="s">
        <v>23</v>
      </c>
      <c r="F930">
        <v>3.81</v>
      </c>
      <c r="G930">
        <v>62219</v>
      </c>
      <c r="H930" t="s">
        <v>18</v>
      </c>
      <c r="I930">
        <v>108.9</v>
      </c>
      <c r="J930">
        <v>65.34</v>
      </c>
      <c r="K930">
        <v>0.99</v>
      </c>
      <c r="L930">
        <v>1091</v>
      </c>
      <c r="M930" t="s">
        <v>26</v>
      </c>
      <c r="N930">
        <v>4320</v>
      </c>
    </row>
    <row r="931" spans="1:14" x14ac:dyDescent="0.3">
      <c r="A931">
        <v>2000</v>
      </c>
      <c r="B931" t="s">
        <v>1600</v>
      </c>
      <c r="C931" t="s">
        <v>1584</v>
      </c>
      <c r="D931" t="s">
        <v>22</v>
      </c>
      <c r="E931" t="s">
        <v>536</v>
      </c>
      <c r="F931">
        <v>4.05</v>
      </c>
      <c r="G931">
        <v>58688</v>
      </c>
      <c r="H931" t="s">
        <v>18</v>
      </c>
      <c r="I931">
        <v>438.9</v>
      </c>
      <c r="J931">
        <v>0</v>
      </c>
      <c r="K931">
        <v>3.99</v>
      </c>
      <c r="L931">
        <v>1093</v>
      </c>
      <c r="M931" t="s">
        <v>26</v>
      </c>
      <c r="N931">
        <v>4320</v>
      </c>
    </row>
    <row r="932" spans="1:14" x14ac:dyDescent="0.3">
      <c r="A932">
        <v>1894</v>
      </c>
      <c r="B932" t="s">
        <v>1601</v>
      </c>
      <c r="C932" t="s">
        <v>463</v>
      </c>
      <c r="D932" t="s">
        <v>22</v>
      </c>
      <c r="E932" t="s">
        <v>536</v>
      </c>
      <c r="F932">
        <v>4.32</v>
      </c>
      <c r="G932">
        <v>56918</v>
      </c>
      <c r="H932" t="s">
        <v>40</v>
      </c>
      <c r="I932">
        <v>1230.9000000000001</v>
      </c>
      <c r="J932">
        <v>738.54</v>
      </c>
      <c r="K932">
        <v>11.19</v>
      </c>
      <c r="L932">
        <v>1095</v>
      </c>
      <c r="M932" t="s">
        <v>19</v>
      </c>
      <c r="N932">
        <v>4320</v>
      </c>
    </row>
    <row r="933" spans="1:14" x14ac:dyDescent="0.3">
      <c r="A933">
        <v>2012</v>
      </c>
      <c r="B933" t="s">
        <v>1602</v>
      </c>
      <c r="C933" t="s">
        <v>1603</v>
      </c>
      <c r="D933" t="s">
        <v>22</v>
      </c>
      <c r="E933" t="s">
        <v>536</v>
      </c>
      <c r="F933">
        <v>4.0599999999999996</v>
      </c>
      <c r="G933">
        <v>52765</v>
      </c>
      <c r="H933" t="s">
        <v>18</v>
      </c>
      <c r="I933">
        <v>108.9</v>
      </c>
      <c r="J933">
        <v>65.34</v>
      </c>
      <c r="K933">
        <v>0.99</v>
      </c>
      <c r="L933">
        <v>1097</v>
      </c>
      <c r="M933" t="s">
        <v>133</v>
      </c>
      <c r="N933">
        <v>4320</v>
      </c>
    </row>
    <row r="934" spans="1:14" x14ac:dyDescent="0.3">
      <c r="A934">
        <v>1984</v>
      </c>
      <c r="B934" t="s">
        <v>1604</v>
      </c>
      <c r="C934" t="s">
        <v>1537</v>
      </c>
      <c r="D934" t="s">
        <v>16</v>
      </c>
      <c r="E934" t="s">
        <v>536</v>
      </c>
      <c r="F934">
        <v>4.17</v>
      </c>
      <c r="G934">
        <v>69134</v>
      </c>
      <c r="H934" t="s">
        <v>18</v>
      </c>
      <c r="I934">
        <v>438.9</v>
      </c>
      <c r="J934">
        <v>0</v>
      </c>
      <c r="K934">
        <v>3.99</v>
      </c>
      <c r="L934">
        <v>1098</v>
      </c>
      <c r="M934" t="s">
        <v>26</v>
      </c>
      <c r="N934">
        <v>4320</v>
      </c>
    </row>
    <row r="935" spans="1:14" x14ac:dyDescent="0.3">
      <c r="A935">
        <v>2003</v>
      </c>
      <c r="B935" t="s">
        <v>569</v>
      </c>
      <c r="C935" t="s">
        <v>1605</v>
      </c>
      <c r="D935" t="s">
        <v>16</v>
      </c>
      <c r="E935" t="s">
        <v>536</v>
      </c>
      <c r="F935">
        <v>4.3600000000000003</v>
      </c>
      <c r="G935">
        <v>71353</v>
      </c>
      <c r="H935" t="s">
        <v>40</v>
      </c>
      <c r="I935">
        <v>108.9</v>
      </c>
      <c r="J935">
        <v>0</v>
      </c>
      <c r="K935">
        <v>0.99</v>
      </c>
      <c r="L935">
        <v>1099</v>
      </c>
      <c r="M935" t="s">
        <v>26</v>
      </c>
      <c r="N935">
        <v>4320</v>
      </c>
    </row>
    <row r="936" spans="1:14" x14ac:dyDescent="0.3">
      <c r="A936">
        <v>1967</v>
      </c>
      <c r="B936" t="s">
        <v>1606</v>
      </c>
      <c r="C936" t="s">
        <v>1607</v>
      </c>
      <c r="D936" t="s">
        <v>22</v>
      </c>
      <c r="E936" t="s">
        <v>536</v>
      </c>
      <c r="F936">
        <v>4.03</v>
      </c>
      <c r="G936">
        <v>70701</v>
      </c>
      <c r="H936" t="s">
        <v>29</v>
      </c>
      <c r="I936">
        <v>218.9</v>
      </c>
      <c r="J936">
        <v>131.34</v>
      </c>
      <c r="K936">
        <v>1.99</v>
      </c>
      <c r="L936">
        <v>1099</v>
      </c>
      <c r="M936" t="s">
        <v>26</v>
      </c>
      <c r="N936">
        <v>4320</v>
      </c>
    </row>
    <row r="937" spans="1:14" x14ac:dyDescent="0.3">
      <c r="A937">
        <v>1958</v>
      </c>
      <c r="B937" t="s">
        <v>1608</v>
      </c>
      <c r="C937" t="s">
        <v>1609</v>
      </c>
      <c r="D937" t="s">
        <v>22</v>
      </c>
      <c r="E937" t="s">
        <v>536</v>
      </c>
      <c r="F937">
        <v>4.09</v>
      </c>
      <c r="G937">
        <v>61256</v>
      </c>
      <c r="H937" t="s">
        <v>18</v>
      </c>
      <c r="I937">
        <v>438.9</v>
      </c>
      <c r="J937">
        <v>0</v>
      </c>
      <c r="K937">
        <v>3.99</v>
      </c>
      <c r="L937">
        <v>1100</v>
      </c>
      <c r="M937" t="s">
        <v>26</v>
      </c>
      <c r="N937">
        <v>4320</v>
      </c>
    </row>
    <row r="938" spans="1:14" x14ac:dyDescent="0.3">
      <c r="A938">
        <v>2008</v>
      </c>
      <c r="B938" t="s">
        <v>1610</v>
      </c>
      <c r="C938" t="s">
        <v>1611</v>
      </c>
      <c r="D938" t="s">
        <v>22</v>
      </c>
      <c r="E938" t="s">
        <v>23</v>
      </c>
      <c r="F938">
        <v>3.86</v>
      </c>
      <c r="G938">
        <v>46225</v>
      </c>
      <c r="H938" t="s">
        <v>18</v>
      </c>
      <c r="I938">
        <v>1351.9</v>
      </c>
      <c r="J938">
        <v>811.14</v>
      </c>
      <c r="K938">
        <v>12.29</v>
      </c>
      <c r="L938">
        <v>1101</v>
      </c>
      <c r="M938" t="s">
        <v>19</v>
      </c>
      <c r="N938">
        <v>4320</v>
      </c>
    </row>
    <row r="939" spans="1:14" x14ac:dyDescent="0.3">
      <c r="A939">
        <v>2004</v>
      </c>
      <c r="B939" t="s">
        <v>1612</v>
      </c>
      <c r="C939" t="s">
        <v>1613</v>
      </c>
      <c r="D939" t="s">
        <v>16</v>
      </c>
      <c r="E939" t="s">
        <v>23</v>
      </c>
      <c r="F939">
        <v>3.95</v>
      </c>
      <c r="G939">
        <v>55236</v>
      </c>
      <c r="H939" t="s">
        <v>40</v>
      </c>
      <c r="I939">
        <v>1208.9000000000001</v>
      </c>
      <c r="J939">
        <v>725.34</v>
      </c>
      <c r="K939">
        <v>10.99</v>
      </c>
      <c r="L939">
        <v>1101</v>
      </c>
      <c r="M939" t="s">
        <v>45</v>
      </c>
      <c r="N939">
        <v>4320</v>
      </c>
    </row>
    <row r="940" spans="1:14" x14ac:dyDescent="0.3">
      <c r="A940">
        <v>1963</v>
      </c>
      <c r="B940" t="s">
        <v>1614</v>
      </c>
      <c r="C940" t="s">
        <v>1615</v>
      </c>
      <c r="D940" t="s">
        <v>22</v>
      </c>
      <c r="E940" t="s">
        <v>536</v>
      </c>
      <c r="F940">
        <v>4.1500000000000004</v>
      </c>
      <c r="G940">
        <v>72329</v>
      </c>
      <c r="H940" t="s">
        <v>18</v>
      </c>
      <c r="I940">
        <v>878.9</v>
      </c>
      <c r="J940">
        <v>527.34</v>
      </c>
      <c r="K940">
        <v>7.99</v>
      </c>
      <c r="L940">
        <v>1102</v>
      </c>
      <c r="M940" t="s">
        <v>33</v>
      </c>
      <c r="N940">
        <v>4320</v>
      </c>
    </row>
    <row r="941" spans="1:14" x14ac:dyDescent="0.3">
      <c r="A941">
        <v>2012</v>
      </c>
      <c r="B941" t="s">
        <v>1616</v>
      </c>
      <c r="C941" t="s">
        <v>1617</v>
      </c>
      <c r="D941" t="s">
        <v>22</v>
      </c>
      <c r="E941" t="s">
        <v>536</v>
      </c>
      <c r="F941">
        <v>4.13</v>
      </c>
      <c r="G941">
        <v>79461</v>
      </c>
      <c r="H941" t="s">
        <v>18</v>
      </c>
      <c r="I941">
        <v>108.9</v>
      </c>
      <c r="J941">
        <v>65.34</v>
      </c>
      <c r="K941">
        <v>0.99</v>
      </c>
      <c r="L941">
        <v>1102</v>
      </c>
      <c r="M941" t="s">
        <v>26</v>
      </c>
      <c r="N941">
        <v>4320</v>
      </c>
    </row>
    <row r="942" spans="1:14" x14ac:dyDescent="0.3">
      <c r="A942">
        <v>2010</v>
      </c>
      <c r="B942" t="s">
        <v>1618</v>
      </c>
      <c r="C942" t="s">
        <v>1619</v>
      </c>
      <c r="D942" t="s">
        <v>16</v>
      </c>
      <c r="E942" t="s">
        <v>536</v>
      </c>
      <c r="F942">
        <v>4.3499999999999996</v>
      </c>
      <c r="G942">
        <v>65091</v>
      </c>
      <c r="H942" t="s">
        <v>18</v>
      </c>
      <c r="I942">
        <v>328.9</v>
      </c>
      <c r="J942">
        <v>0</v>
      </c>
      <c r="K942">
        <v>2.99</v>
      </c>
      <c r="L942">
        <v>1105</v>
      </c>
      <c r="M942" t="s">
        <v>26</v>
      </c>
      <c r="N942">
        <v>4320</v>
      </c>
    </row>
    <row r="943" spans="1:14" x14ac:dyDescent="0.3">
      <c r="A943">
        <v>2015</v>
      </c>
      <c r="B943" t="s">
        <v>1620</v>
      </c>
      <c r="C943" t="s">
        <v>1621</v>
      </c>
      <c r="D943" t="s">
        <v>22</v>
      </c>
      <c r="E943" t="s">
        <v>536</v>
      </c>
      <c r="F943">
        <v>4.32</v>
      </c>
      <c r="G943">
        <v>45492</v>
      </c>
      <c r="H943" t="s">
        <v>18</v>
      </c>
      <c r="I943">
        <v>603.9</v>
      </c>
      <c r="J943">
        <v>362.34</v>
      </c>
      <c r="K943">
        <v>5.49</v>
      </c>
      <c r="L943">
        <v>1106</v>
      </c>
      <c r="M943" t="s">
        <v>19</v>
      </c>
      <c r="N943">
        <v>4320</v>
      </c>
    </row>
    <row r="944" spans="1:14" x14ac:dyDescent="0.3">
      <c r="A944">
        <v>2008</v>
      </c>
      <c r="B944" t="s">
        <v>1622</v>
      </c>
      <c r="C944" t="s">
        <v>593</v>
      </c>
      <c r="D944" t="s">
        <v>22</v>
      </c>
      <c r="E944" t="s">
        <v>536</v>
      </c>
      <c r="F944">
        <v>4.12</v>
      </c>
      <c r="G944">
        <v>87432</v>
      </c>
      <c r="H944" t="s">
        <v>18</v>
      </c>
      <c r="I944">
        <v>988.9</v>
      </c>
      <c r="J944">
        <v>593.34</v>
      </c>
      <c r="K944">
        <v>8.99</v>
      </c>
      <c r="L944">
        <v>1106</v>
      </c>
      <c r="M944" t="s">
        <v>45</v>
      </c>
      <c r="N944">
        <v>4320</v>
      </c>
    </row>
    <row r="945" spans="1:14" x14ac:dyDescent="0.3">
      <c r="A945">
        <v>2013</v>
      </c>
      <c r="B945" t="s">
        <v>1623</v>
      </c>
      <c r="C945" t="s">
        <v>1624</v>
      </c>
      <c r="D945" t="s">
        <v>22</v>
      </c>
      <c r="E945" t="s">
        <v>536</v>
      </c>
      <c r="F945">
        <v>4.0999999999999996</v>
      </c>
      <c r="G945">
        <v>59650</v>
      </c>
      <c r="H945" t="s">
        <v>18</v>
      </c>
      <c r="I945">
        <v>438.9</v>
      </c>
      <c r="J945">
        <v>0</v>
      </c>
      <c r="K945">
        <v>3.99</v>
      </c>
      <c r="L945">
        <v>1107</v>
      </c>
      <c r="M945" t="s">
        <v>26</v>
      </c>
      <c r="N945">
        <v>4320</v>
      </c>
    </row>
    <row r="946" spans="1:14" x14ac:dyDescent="0.3">
      <c r="A946">
        <v>2012</v>
      </c>
      <c r="B946" t="s">
        <v>1625</v>
      </c>
      <c r="C946" t="s">
        <v>1626</v>
      </c>
      <c r="D946" t="s">
        <v>1468</v>
      </c>
      <c r="E946" t="s">
        <v>23</v>
      </c>
      <c r="F946">
        <v>3.72</v>
      </c>
      <c r="G946">
        <v>42958</v>
      </c>
      <c r="H946" t="s">
        <v>40</v>
      </c>
      <c r="I946">
        <v>1200.0999999999999</v>
      </c>
      <c r="J946">
        <v>720.06</v>
      </c>
      <c r="K946">
        <v>10.91</v>
      </c>
      <c r="L946">
        <v>1107</v>
      </c>
      <c r="M946" t="s">
        <v>65</v>
      </c>
      <c r="N946">
        <v>4320</v>
      </c>
    </row>
    <row r="947" spans="1:14" x14ac:dyDescent="0.3">
      <c r="A947">
        <v>2003</v>
      </c>
      <c r="B947" t="s">
        <v>1627</v>
      </c>
      <c r="C947" t="s">
        <v>652</v>
      </c>
      <c r="D947" t="s">
        <v>16</v>
      </c>
      <c r="E947" t="s">
        <v>23</v>
      </c>
      <c r="F947">
        <v>4</v>
      </c>
      <c r="G947">
        <v>81362</v>
      </c>
      <c r="H947" t="s">
        <v>18</v>
      </c>
      <c r="I947">
        <v>988.9</v>
      </c>
      <c r="J947">
        <v>593.34</v>
      </c>
      <c r="K947">
        <v>8.99</v>
      </c>
      <c r="L947">
        <v>1111</v>
      </c>
      <c r="M947" t="s">
        <v>33</v>
      </c>
      <c r="N947">
        <v>4320</v>
      </c>
    </row>
    <row r="948" spans="1:14" x14ac:dyDescent="0.3">
      <c r="A948">
        <v>1853</v>
      </c>
      <c r="B948" t="s">
        <v>1628</v>
      </c>
      <c r="C948" t="s">
        <v>1629</v>
      </c>
      <c r="D948" t="s">
        <v>22</v>
      </c>
      <c r="E948" t="s">
        <v>23</v>
      </c>
      <c r="F948">
        <v>4</v>
      </c>
      <c r="G948">
        <v>67433</v>
      </c>
      <c r="H948" t="s">
        <v>18</v>
      </c>
      <c r="I948">
        <v>988.9</v>
      </c>
      <c r="J948">
        <v>593.34</v>
      </c>
      <c r="K948">
        <v>8.99</v>
      </c>
      <c r="L948">
        <v>1112</v>
      </c>
      <c r="M948" t="s">
        <v>19</v>
      </c>
      <c r="N948">
        <v>4320</v>
      </c>
    </row>
    <row r="949" spans="1:14" x14ac:dyDescent="0.3">
      <c r="A949">
        <v>1938</v>
      </c>
      <c r="B949" t="s">
        <v>1630</v>
      </c>
      <c r="C949" t="s">
        <v>1631</v>
      </c>
      <c r="D949" t="s">
        <v>22</v>
      </c>
      <c r="E949" t="s">
        <v>536</v>
      </c>
      <c r="F949">
        <v>4.12</v>
      </c>
      <c r="G949">
        <v>72504</v>
      </c>
      <c r="H949" t="s">
        <v>18</v>
      </c>
      <c r="I949">
        <v>548.9</v>
      </c>
      <c r="J949">
        <v>329.34</v>
      </c>
      <c r="K949">
        <v>4.99</v>
      </c>
      <c r="L949">
        <v>1118</v>
      </c>
      <c r="M949" t="s">
        <v>26</v>
      </c>
      <c r="N949">
        <v>4280</v>
      </c>
    </row>
    <row r="950" spans="1:14" x14ac:dyDescent="0.3">
      <c r="A950">
        <v>2004</v>
      </c>
      <c r="B950" t="s">
        <v>1632</v>
      </c>
      <c r="C950" t="s">
        <v>682</v>
      </c>
      <c r="D950" t="s">
        <v>22</v>
      </c>
      <c r="E950" t="s">
        <v>536</v>
      </c>
      <c r="F950">
        <v>4.12</v>
      </c>
      <c r="G950">
        <v>70269</v>
      </c>
      <c r="H950" t="s">
        <v>18</v>
      </c>
      <c r="I950">
        <v>108.9</v>
      </c>
      <c r="J950">
        <v>0</v>
      </c>
      <c r="K950">
        <v>0.99</v>
      </c>
      <c r="L950">
        <v>1119</v>
      </c>
      <c r="M950" t="s">
        <v>26</v>
      </c>
      <c r="N950">
        <v>4280</v>
      </c>
    </row>
    <row r="951" spans="1:14" x14ac:dyDescent="0.3">
      <c r="A951">
        <v>1983</v>
      </c>
      <c r="B951" t="s">
        <v>1633</v>
      </c>
      <c r="C951" t="s">
        <v>1634</v>
      </c>
      <c r="D951" t="s">
        <v>16</v>
      </c>
      <c r="E951" t="s">
        <v>536</v>
      </c>
      <c r="F951">
        <v>4.2699999999999996</v>
      </c>
      <c r="G951">
        <v>85699</v>
      </c>
      <c r="H951" t="s">
        <v>18</v>
      </c>
      <c r="I951">
        <v>1867.8</v>
      </c>
      <c r="J951">
        <v>1120.68</v>
      </c>
      <c r="K951">
        <v>16.98</v>
      </c>
      <c r="L951">
        <v>1119</v>
      </c>
      <c r="M951" t="s">
        <v>33</v>
      </c>
      <c r="N951">
        <v>4280</v>
      </c>
    </row>
    <row r="952" spans="1:14" x14ac:dyDescent="0.3">
      <c r="A952">
        <v>2009</v>
      </c>
      <c r="B952" t="s">
        <v>1635</v>
      </c>
      <c r="C952" t="s">
        <v>1636</v>
      </c>
      <c r="D952" t="s">
        <v>92</v>
      </c>
      <c r="E952" t="s">
        <v>17</v>
      </c>
      <c r="F952">
        <v>3.23</v>
      </c>
      <c r="G952">
        <v>63737</v>
      </c>
      <c r="H952" t="s">
        <v>40</v>
      </c>
      <c r="I952">
        <v>416.9</v>
      </c>
      <c r="J952">
        <v>250.14</v>
      </c>
      <c r="K952">
        <v>3.79</v>
      </c>
      <c r="L952">
        <v>1120</v>
      </c>
      <c r="M952" t="s">
        <v>19</v>
      </c>
      <c r="N952">
        <v>4280</v>
      </c>
    </row>
    <row r="953" spans="1:14" x14ac:dyDescent="0.3">
      <c r="A953">
        <v>2014</v>
      </c>
      <c r="B953" t="s">
        <v>1637</v>
      </c>
      <c r="C953" t="s">
        <v>1638</v>
      </c>
      <c r="D953" t="s">
        <v>22</v>
      </c>
      <c r="E953" t="s">
        <v>23</v>
      </c>
      <c r="F953">
        <v>3.79</v>
      </c>
      <c r="G953">
        <v>51603</v>
      </c>
      <c r="H953" t="s">
        <v>18</v>
      </c>
      <c r="I953">
        <v>548.9</v>
      </c>
      <c r="J953">
        <v>0</v>
      </c>
      <c r="K953">
        <v>4.99</v>
      </c>
      <c r="L953">
        <v>1120</v>
      </c>
      <c r="M953" t="s">
        <v>26</v>
      </c>
      <c r="N953">
        <v>4280</v>
      </c>
    </row>
    <row r="954" spans="1:14" x14ac:dyDescent="0.3">
      <c r="A954">
        <v>2009</v>
      </c>
      <c r="B954" t="s">
        <v>1639</v>
      </c>
      <c r="C954" t="s">
        <v>593</v>
      </c>
      <c r="D954" t="s">
        <v>22</v>
      </c>
      <c r="E954" t="s">
        <v>536</v>
      </c>
      <c r="F954">
        <v>4.38</v>
      </c>
      <c r="G954">
        <v>84650</v>
      </c>
      <c r="H954" t="s">
        <v>612</v>
      </c>
      <c r="I954">
        <v>493.9</v>
      </c>
      <c r="J954">
        <v>296.33999999999997</v>
      </c>
      <c r="K954">
        <v>4.49</v>
      </c>
      <c r="L954">
        <v>1123</v>
      </c>
      <c r="M954" t="s">
        <v>133</v>
      </c>
      <c r="N954">
        <v>4280</v>
      </c>
    </row>
    <row r="955" spans="1:14" x14ac:dyDescent="0.3">
      <c r="A955">
        <v>1990</v>
      </c>
      <c r="B955" t="s">
        <v>1640</v>
      </c>
      <c r="C955" t="s">
        <v>392</v>
      </c>
      <c r="D955" t="s">
        <v>22</v>
      </c>
      <c r="E955" t="s">
        <v>536</v>
      </c>
      <c r="F955">
        <v>4.18</v>
      </c>
      <c r="G955">
        <v>63235</v>
      </c>
      <c r="H955" t="s">
        <v>40</v>
      </c>
      <c r="I955">
        <v>641.29999999999995</v>
      </c>
      <c r="J955">
        <v>384.78</v>
      </c>
      <c r="K955">
        <v>5.83</v>
      </c>
      <c r="L955">
        <v>1124</v>
      </c>
      <c r="M955" t="s">
        <v>65</v>
      </c>
      <c r="N955">
        <v>4280</v>
      </c>
    </row>
    <row r="956" spans="1:14" x14ac:dyDescent="0.3">
      <c r="A956">
        <v>1987</v>
      </c>
      <c r="B956" t="s">
        <v>1641</v>
      </c>
      <c r="C956" t="s">
        <v>1642</v>
      </c>
      <c r="D956" t="s">
        <v>16</v>
      </c>
      <c r="E956" t="s">
        <v>23</v>
      </c>
      <c r="F956">
        <v>3.75</v>
      </c>
      <c r="G956">
        <v>61412</v>
      </c>
      <c r="H956" t="s">
        <v>18</v>
      </c>
      <c r="I956">
        <v>1088.9100000000001</v>
      </c>
      <c r="J956">
        <v>653.346</v>
      </c>
      <c r="K956">
        <v>9.99</v>
      </c>
      <c r="L956">
        <v>1127</v>
      </c>
      <c r="M956" t="s">
        <v>45</v>
      </c>
      <c r="N956">
        <v>4280</v>
      </c>
    </row>
    <row r="957" spans="1:14" x14ac:dyDescent="0.3">
      <c r="A957">
        <v>1871</v>
      </c>
      <c r="B957" t="s">
        <v>1643</v>
      </c>
      <c r="C957" t="s">
        <v>1644</v>
      </c>
      <c r="D957" t="s">
        <v>22</v>
      </c>
      <c r="E957" t="s">
        <v>536</v>
      </c>
      <c r="F957">
        <v>4.0599999999999996</v>
      </c>
      <c r="G957">
        <v>63050</v>
      </c>
      <c r="H957" t="s">
        <v>29</v>
      </c>
      <c r="I957">
        <v>216.91</v>
      </c>
      <c r="J957">
        <v>130.14599999999999</v>
      </c>
      <c r="K957">
        <v>1.99</v>
      </c>
      <c r="L957">
        <v>1128</v>
      </c>
      <c r="M957" t="s">
        <v>65</v>
      </c>
      <c r="N957">
        <v>4280</v>
      </c>
    </row>
    <row r="958" spans="1:14" x14ac:dyDescent="0.3">
      <c r="A958">
        <v>1991</v>
      </c>
      <c r="B958" t="s">
        <v>1645</v>
      </c>
      <c r="C958" t="s">
        <v>1646</v>
      </c>
      <c r="D958" t="s">
        <v>16</v>
      </c>
      <c r="E958" t="s">
        <v>536</v>
      </c>
      <c r="F958">
        <v>4.2300000000000004</v>
      </c>
      <c r="G958">
        <v>60193</v>
      </c>
      <c r="H958" t="s">
        <v>40</v>
      </c>
      <c r="I958">
        <v>434.91</v>
      </c>
      <c r="J958">
        <v>260.94600000000003</v>
      </c>
      <c r="K958">
        <v>3.99</v>
      </c>
      <c r="L958">
        <v>1129</v>
      </c>
      <c r="M958" t="s">
        <v>582</v>
      </c>
      <c r="N958">
        <v>4280</v>
      </c>
    </row>
    <row r="959" spans="1:14" x14ac:dyDescent="0.3">
      <c r="A959">
        <v>1961</v>
      </c>
      <c r="B959" t="s">
        <v>1647</v>
      </c>
      <c r="C959" t="s">
        <v>122</v>
      </c>
      <c r="D959" t="s">
        <v>22</v>
      </c>
      <c r="E959" t="s">
        <v>536</v>
      </c>
      <c r="F959">
        <v>4.08</v>
      </c>
      <c r="G959">
        <v>66360</v>
      </c>
      <c r="H959" t="s">
        <v>29</v>
      </c>
      <c r="I959">
        <v>1160.8499999999999</v>
      </c>
      <c r="J959">
        <v>696.51</v>
      </c>
      <c r="K959">
        <v>10.65</v>
      </c>
      <c r="L959">
        <v>1130</v>
      </c>
      <c r="M959" t="s">
        <v>33</v>
      </c>
      <c r="N959">
        <v>4280</v>
      </c>
    </row>
    <row r="960" spans="1:14" x14ac:dyDescent="0.3">
      <c r="A960">
        <v>1937</v>
      </c>
      <c r="B960" t="s">
        <v>1648</v>
      </c>
      <c r="C960" t="s">
        <v>54</v>
      </c>
      <c r="D960" t="s">
        <v>22</v>
      </c>
      <c r="E960" t="s">
        <v>536</v>
      </c>
      <c r="F960">
        <v>4.1900000000000004</v>
      </c>
      <c r="G960">
        <v>74666</v>
      </c>
      <c r="H960" t="s">
        <v>18</v>
      </c>
      <c r="I960">
        <v>516.66</v>
      </c>
      <c r="J960">
        <v>309.99599999999998</v>
      </c>
      <c r="K960">
        <v>4.74</v>
      </c>
      <c r="L960">
        <v>1131</v>
      </c>
      <c r="M960" t="s">
        <v>19</v>
      </c>
      <c r="N960">
        <v>4280</v>
      </c>
    </row>
    <row r="961" spans="1:14" x14ac:dyDescent="0.3">
      <c r="A961">
        <v>2015</v>
      </c>
      <c r="B961" t="s">
        <v>1648</v>
      </c>
      <c r="C961" t="s">
        <v>73</v>
      </c>
      <c r="D961" t="s">
        <v>22</v>
      </c>
      <c r="E961" t="s">
        <v>536</v>
      </c>
      <c r="F961">
        <v>4.03</v>
      </c>
      <c r="G961">
        <v>36541</v>
      </c>
      <c r="H961" t="s">
        <v>29</v>
      </c>
      <c r="I961">
        <v>107.91</v>
      </c>
      <c r="J961">
        <v>0</v>
      </c>
      <c r="K961">
        <v>0.99</v>
      </c>
      <c r="L961">
        <v>1131</v>
      </c>
      <c r="M961" t="s">
        <v>26</v>
      </c>
      <c r="N961">
        <v>4280</v>
      </c>
    </row>
    <row r="962" spans="1:14" x14ac:dyDescent="0.3">
      <c r="A962">
        <v>2009</v>
      </c>
      <c r="B962" t="s">
        <v>1649</v>
      </c>
      <c r="C962" t="s">
        <v>1650</v>
      </c>
      <c r="D962" t="s">
        <v>16</v>
      </c>
      <c r="E962" t="s">
        <v>23</v>
      </c>
      <c r="F962">
        <v>3.77</v>
      </c>
      <c r="G962">
        <v>58631</v>
      </c>
      <c r="H962" t="s">
        <v>18</v>
      </c>
      <c r="I962">
        <v>107.91</v>
      </c>
      <c r="J962">
        <v>64.745999999999995</v>
      </c>
      <c r="K962">
        <v>0.99</v>
      </c>
      <c r="L962">
        <v>1132</v>
      </c>
      <c r="M962" t="s">
        <v>26</v>
      </c>
      <c r="N962">
        <v>4280</v>
      </c>
    </row>
    <row r="963" spans="1:14" x14ac:dyDescent="0.3">
      <c r="A963">
        <v>1890</v>
      </c>
      <c r="B963" t="s">
        <v>1651</v>
      </c>
      <c r="C963" t="s">
        <v>1652</v>
      </c>
      <c r="D963" t="s">
        <v>22</v>
      </c>
      <c r="E963" t="s">
        <v>536</v>
      </c>
      <c r="F963">
        <v>4.21</v>
      </c>
      <c r="G963">
        <v>60278</v>
      </c>
      <c r="H963" t="s">
        <v>18</v>
      </c>
      <c r="I963">
        <v>543.91</v>
      </c>
      <c r="J963">
        <v>0</v>
      </c>
      <c r="K963">
        <v>4.99</v>
      </c>
      <c r="L963">
        <v>1132</v>
      </c>
      <c r="M963" t="s">
        <v>26</v>
      </c>
      <c r="N963">
        <v>4280</v>
      </c>
    </row>
    <row r="964" spans="1:14" x14ac:dyDescent="0.3">
      <c r="A964">
        <v>1956</v>
      </c>
      <c r="B964" t="s">
        <v>1653</v>
      </c>
      <c r="C964" t="s">
        <v>1654</v>
      </c>
      <c r="D964" t="s">
        <v>16</v>
      </c>
      <c r="E964" t="s">
        <v>536</v>
      </c>
      <c r="F964">
        <v>4.0599999999999996</v>
      </c>
      <c r="G964">
        <v>69815</v>
      </c>
      <c r="H964" t="s">
        <v>18</v>
      </c>
      <c r="I964">
        <v>1502.02</v>
      </c>
      <c r="J964">
        <v>901.21199999999999</v>
      </c>
      <c r="K964">
        <v>13.78</v>
      </c>
      <c r="L964">
        <v>1136</v>
      </c>
      <c r="M964" t="s">
        <v>133</v>
      </c>
      <c r="N964">
        <v>4280</v>
      </c>
    </row>
    <row r="965" spans="1:14" x14ac:dyDescent="0.3">
      <c r="A965">
        <v>2007</v>
      </c>
      <c r="B965" t="s">
        <v>1655</v>
      </c>
      <c r="C965" t="s">
        <v>1656</v>
      </c>
      <c r="D965" t="s">
        <v>22</v>
      </c>
      <c r="E965" t="s">
        <v>23</v>
      </c>
      <c r="F965">
        <v>3.87</v>
      </c>
      <c r="G965">
        <v>60869</v>
      </c>
      <c r="H965" t="s">
        <v>40</v>
      </c>
      <c r="I965">
        <v>107.91</v>
      </c>
      <c r="J965">
        <v>64.745999999999995</v>
      </c>
      <c r="K965">
        <v>0.99</v>
      </c>
      <c r="L965">
        <v>1137</v>
      </c>
      <c r="M965" t="s">
        <v>26</v>
      </c>
      <c r="N965">
        <v>4280</v>
      </c>
    </row>
    <row r="966" spans="1:14" x14ac:dyDescent="0.3">
      <c r="A966">
        <v>2005</v>
      </c>
      <c r="B966" t="s">
        <v>1657</v>
      </c>
      <c r="C966" t="s">
        <v>1658</v>
      </c>
      <c r="D966" t="s">
        <v>22</v>
      </c>
      <c r="E966" t="s">
        <v>536</v>
      </c>
      <c r="F966">
        <v>4.01</v>
      </c>
      <c r="G966">
        <v>58841</v>
      </c>
      <c r="H966" t="s">
        <v>40</v>
      </c>
      <c r="I966">
        <v>107.91</v>
      </c>
      <c r="J966">
        <v>0</v>
      </c>
      <c r="K966">
        <v>0.99</v>
      </c>
      <c r="L966">
        <v>1138</v>
      </c>
      <c r="M966" t="s">
        <v>26</v>
      </c>
      <c r="N966">
        <v>4280</v>
      </c>
    </row>
    <row r="967" spans="1:14" x14ac:dyDescent="0.3">
      <c r="A967">
        <v>2000</v>
      </c>
      <c r="B967" t="s">
        <v>1659</v>
      </c>
      <c r="C967" t="s">
        <v>1660</v>
      </c>
      <c r="D967" t="s">
        <v>22</v>
      </c>
      <c r="E967" t="s">
        <v>52</v>
      </c>
      <c r="F967">
        <v>4.5599999999999996</v>
      </c>
      <c r="G967">
        <v>54977</v>
      </c>
      <c r="H967" t="s">
        <v>18</v>
      </c>
      <c r="I967">
        <v>325.91000000000003</v>
      </c>
      <c r="J967">
        <v>0</v>
      </c>
      <c r="K967">
        <v>2.99</v>
      </c>
      <c r="L967">
        <v>1140</v>
      </c>
      <c r="M967" t="s">
        <v>26</v>
      </c>
      <c r="N967">
        <v>4280</v>
      </c>
    </row>
    <row r="968" spans="1:14" x14ac:dyDescent="0.3">
      <c r="A968">
        <v>1952</v>
      </c>
      <c r="B968" t="s">
        <v>1661</v>
      </c>
      <c r="C968" t="s">
        <v>1662</v>
      </c>
      <c r="D968" t="s">
        <v>22</v>
      </c>
      <c r="E968" t="s">
        <v>536</v>
      </c>
      <c r="F968">
        <v>4.0199999999999996</v>
      </c>
      <c r="G968">
        <v>74820</v>
      </c>
      <c r="H968" t="s">
        <v>18</v>
      </c>
      <c r="I968">
        <v>706.32</v>
      </c>
      <c r="J968">
        <v>423.79199999999997</v>
      </c>
      <c r="K968">
        <v>6.48</v>
      </c>
      <c r="L968">
        <v>1141</v>
      </c>
      <c r="M968" t="s">
        <v>30</v>
      </c>
      <c r="N968">
        <v>4240</v>
      </c>
    </row>
    <row r="969" spans="1:14" x14ac:dyDescent="0.3">
      <c r="A969">
        <v>1999</v>
      </c>
      <c r="B969" t="s">
        <v>1663</v>
      </c>
      <c r="C969" t="s">
        <v>73</v>
      </c>
      <c r="D969" t="s">
        <v>22</v>
      </c>
      <c r="E969" t="s">
        <v>23</v>
      </c>
      <c r="F969">
        <v>3.8</v>
      </c>
      <c r="G969">
        <v>65063</v>
      </c>
      <c r="H969" t="s">
        <v>18</v>
      </c>
      <c r="I969">
        <v>216.91</v>
      </c>
      <c r="J969">
        <v>130.14599999999999</v>
      </c>
      <c r="K969">
        <v>1.99</v>
      </c>
      <c r="L969">
        <v>1142</v>
      </c>
      <c r="M969" t="s">
        <v>133</v>
      </c>
      <c r="N969">
        <v>4240</v>
      </c>
    </row>
    <row r="970" spans="1:14" x14ac:dyDescent="0.3">
      <c r="A970">
        <v>2016</v>
      </c>
      <c r="B970" t="s">
        <v>1664</v>
      </c>
      <c r="C970" t="s">
        <v>194</v>
      </c>
      <c r="D970" t="s">
        <v>22</v>
      </c>
      <c r="E970" t="s">
        <v>536</v>
      </c>
      <c r="F970">
        <v>4.3499999999999996</v>
      </c>
      <c r="G970">
        <v>73745</v>
      </c>
      <c r="H970" t="s">
        <v>18</v>
      </c>
      <c r="I970">
        <v>1306.9100000000001</v>
      </c>
      <c r="J970">
        <v>784.14599999999996</v>
      </c>
      <c r="K970">
        <v>11.99</v>
      </c>
      <c r="L970">
        <v>1144</v>
      </c>
      <c r="M970" t="s">
        <v>33</v>
      </c>
      <c r="N970">
        <v>4240</v>
      </c>
    </row>
    <row r="971" spans="1:14" x14ac:dyDescent="0.3">
      <c r="A971">
        <v>1982</v>
      </c>
      <c r="B971" t="s">
        <v>1664</v>
      </c>
      <c r="C971" t="s">
        <v>1208</v>
      </c>
      <c r="D971" t="s">
        <v>22</v>
      </c>
      <c r="E971" t="s">
        <v>23</v>
      </c>
      <c r="F971">
        <v>3.94</v>
      </c>
      <c r="G971">
        <v>55262</v>
      </c>
      <c r="H971" t="s">
        <v>40</v>
      </c>
      <c r="I971">
        <v>960.29</v>
      </c>
      <c r="J971">
        <v>576.17399999999998</v>
      </c>
      <c r="K971">
        <v>8.81</v>
      </c>
      <c r="L971">
        <v>1147</v>
      </c>
      <c r="M971" t="s">
        <v>65</v>
      </c>
      <c r="N971">
        <v>4240</v>
      </c>
    </row>
    <row r="972" spans="1:14" x14ac:dyDescent="0.3">
      <c r="A972">
        <v>2003</v>
      </c>
      <c r="B972" t="s">
        <v>1665</v>
      </c>
      <c r="C972" t="s">
        <v>340</v>
      </c>
      <c r="D972" t="s">
        <v>16</v>
      </c>
      <c r="E972" t="s">
        <v>23</v>
      </c>
      <c r="F972">
        <v>3.83</v>
      </c>
      <c r="G972">
        <v>69504</v>
      </c>
      <c r="H972" t="s">
        <v>18</v>
      </c>
      <c r="I972">
        <v>598.41</v>
      </c>
      <c r="J972">
        <v>359.04599999999999</v>
      </c>
      <c r="K972">
        <v>5.49</v>
      </c>
      <c r="L972">
        <v>1148</v>
      </c>
      <c r="M972" t="s">
        <v>65</v>
      </c>
      <c r="N972">
        <v>4240</v>
      </c>
    </row>
    <row r="973" spans="1:14" x14ac:dyDescent="0.3">
      <c r="A973">
        <v>2012</v>
      </c>
      <c r="B973" t="s">
        <v>1666</v>
      </c>
      <c r="C973" t="s">
        <v>32</v>
      </c>
      <c r="D973" t="s">
        <v>144</v>
      </c>
      <c r="E973" t="s">
        <v>536</v>
      </c>
      <c r="F973">
        <v>4.21</v>
      </c>
      <c r="G973">
        <v>85746</v>
      </c>
      <c r="H973" t="s">
        <v>18</v>
      </c>
      <c r="I973">
        <v>325.91000000000003</v>
      </c>
      <c r="J973">
        <v>195.54599999999999</v>
      </c>
      <c r="K973">
        <v>2.99</v>
      </c>
      <c r="L973">
        <v>1148</v>
      </c>
      <c r="M973" t="s">
        <v>26</v>
      </c>
      <c r="N973">
        <v>4240</v>
      </c>
    </row>
    <row r="974" spans="1:14" x14ac:dyDescent="0.3">
      <c r="A974">
        <v>1984</v>
      </c>
      <c r="B974" t="s">
        <v>1667</v>
      </c>
      <c r="C974" t="s">
        <v>1355</v>
      </c>
      <c r="D974" t="s">
        <v>22</v>
      </c>
      <c r="E974" t="s">
        <v>536</v>
      </c>
      <c r="F974">
        <v>4.24</v>
      </c>
      <c r="G974">
        <v>48277</v>
      </c>
      <c r="H974" t="s">
        <v>18</v>
      </c>
      <c r="I974">
        <v>325.91000000000003</v>
      </c>
      <c r="J974">
        <v>0</v>
      </c>
      <c r="K974">
        <v>2.99</v>
      </c>
      <c r="L974">
        <v>1148</v>
      </c>
      <c r="M974" t="s">
        <v>26</v>
      </c>
      <c r="N974">
        <v>4240</v>
      </c>
    </row>
    <row r="975" spans="1:14" x14ac:dyDescent="0.3">
      <c r="A975">
        <v>2006</v>
      </c>
      <c r="B975" t="s">
        <v>1668</v>
      </c>
      <c r="C975" t="s">
        <v>1266</v>
      </c>
      <c r="D975" t="s">
        <v>16</v>
      </c>
      <c r="E975" t="s">
        <v>536</v>
      </c>
      <c r="F975">
        <v>4.32</v>
      </c>
      <c r="G975">
        <v>60959</v>
      </c>
      <c r="H975" t="s">
        <v>18</v>
      </c>
      <c r="I975">
        <v>325.91000000000003</v>
      </c>
      <c r="J975">
        <v>195.54599999999999</v>
      </c>
      <c r="K975">
        <v>2.99</v>
      </c>
      <c r="L975">
        <v>1149</v>
      </c>
      <c r="M975" t="s">
        <v>26</v>
      </c>
      <c r="N975">
        <v>4240</v>
      </c>
    </row>
    <row r="976" spans="1:14" x14ac:dyDescent="0.3">
      <c r="A976">
        <v>2012</v>
      </c>
      <c r="B976" t="s">
        <v>1669</v>
      </c>
      <c r="C976" t="s">
        <v>1670</v>
      </c>
      <c r="D976" t="s">
        <v>22</v>
      </c>
      <c r="E976" t="s">
        <v>536</v>
      </c>
      <c r="F976">
        <v>4.26</v>
      </c>
      <c r="G976">
        <v>83886</v>
      </c>
      <c r="H976" t="s">
        <v>29</v>
      </c>
      <c r="I976">
        <v>620.21</v>
      </c>
      <c r="J976">
        <v>372.12599999999998</v>
      </c>
      <c r="K976">
        <v>5.69</v>
      </c>
      <c r="L976">
        <v>1150</v>
      </c>
      <c r="M976" t="s">
        <v>30</v>
      </c>
      <c r="N976">
        <v>4240</v>
      </c>
    </row>
    <row r="977" spans="1:14" x14ac:dyDescent="0.3">
      <c r="A977">
        <v>2005</v>
      </c>
      <c r="B977" t="s">
        <v>1671</v>
      </c>
      <c r="C977" t="s">
        <v>217</v>
      </c>
      <c r="D977" t="s">
        <v>22</v>
      </c>
      <c r="E977" t="s">
        <v>23</v>
      </c>
      <c r="F977">
        <v>3.56</v>
      </c>
      <c r="G977">
        <v>50921</v>
      </c>
      <c r="H977" t="s">
        <v>18</v>
      </c>
      <c r="I977">
        <v>434.91</v>
      </c>
      <c r="J977">
        <v>0</v>
      </c>
      <c r="K977">
        <v>3.99</v>
      </c>
      <c r="L977">
        <v>1151</v>
      </c>
      <c r="M977" t="s">
        <v>26</v>
      </c>
      <c r="N977">
        <v>4240</v>
      </c>
    </row>
    <row r="978" spans="1:14" x14ac:dyDescent="0.3">
      <c r="A978">
        <v>1952</v>
      </c>
      <c r="B978" t="s">
        <v>1672</v>
      </c>
      <c r="C978" t="s">
        <v>1673</v>
      </c>
      <c r="D978" t="s">
        <v>22</v>
      </c>
      <c r="E978" t="s">
        <v>536</v>
      </c>
      <c r="F978">
        <v>4.08</v>
      </c>
      <c r="G978">
        <v>52704</v>
      </c>
      <c r="H978" t="s">
        <v>18</v>
      </c>
      <c r="I978">
        <v>325.91000000000003</v>
      </c>
      <c r="J978">
        <v>0</v>
      </c>
      <c r="K978">
        <v>2.99</v>
      </c>
      <c r="L978">
        <v>1152</v>
      </c>
      <c r="M978" t="s">
        <v>26</v>
      </c>
      <c r="N978">
        <v>4240</v>
      </c>
    </row>
    <row r="979" spans="1:14" x14ac:dyDescent="0.3">
      <c r="A979">
        <v>2015</v>
      </c>
      <c r="B979" t="s">
        <v>1674</v>
      </c>
      <c r="C979" t="s">
        <v>1557</v>
      </c>
      <c r="D979" t="s">
        <v>22</v>
      </c>
      <c r="E979" t="s">
        <v>23</v>
      </c>
      <c r="F979">
        <v>3.65</v>
      </c>
      <c r="G979">
        <v>67344</v>
      </c>
      <c r="H979" t="s">
        <v>18</v>
      </c>
      <c r="I979">
        <v>107.91</v>
      </c>
      <c r="J979">
        <v>0</v>
      </c>
      <c r="K979">
        <v>0.99</v>
      </c>
      <c r="L979">
        <v>1153</v>
      </c>
      <c r="M979" t="s">
        <v>26</v>
      </c>
      <c r="N979">
        <v>4240</v>
      </c>
    </row>
    <row r="980" spans="1:14" x14ac:dyDescent="0.3">
      <c r="A980">
        <v>1905</v>
      </c>
      <c r="B980" t="s">
        <v>1675</v>
      </c>
      <c r="C980" t="s">
        <v>1676</v>
      </c>
      <c r="D980" t="s">
        <v>22</v>
      </c>
      <c r="E980" t="s">
        <v>23</v>
      </c>
      <c r="F980">
        <v>3.94</v>
      </c>
      <c r="G980">
        <v>60611</v>
      </c>
      <c r="H980" t="s">
        <v>18</v>
      </c>
      <c r="I980">
        <v>325.91000000000003</v>
      </c>
      <c r="J980">
        <v>0</v>
      </c>
      <c r="K980">
        <v>2.99</v>
      </c>
      <c r="L980">
        <v>1154</v>
      </c>
      <c r="M980" t="s">
        <v>26</v>
      </c>
      <c r="N980">
        <v>4240</v>
      </c>
    </row>
    <row r="981" spans="1:14" x14ac:dyDescent="0.3">
      <c r="A981">
        <v>2006</v>
      </c>
      <c r="B981" t="s">
        <v>1677</v>
      </c>
      <c r="C981" t="s">
        <v>1678</v>
      </c>
      <c r="D981" t="s">
        <v>22</v>
      </c>
      <c r="E981" t="s">
        <v>52</v>
      </c>
      <c r="F981">
        <v>4.4000000000000004</v>
      </c>
      <c r="G981">
        <v>65477</v>
      </c>
      <c r="H981" t="s">
        <v>18</v>
      </c>
      <c r="I981">
        <v>434.91</v>
      </c>
      <c r="J981">
        <v>0</v>
      </c>
      <c r="K981">
        <v>3.99</v>
      </c>
      <c r="L981">
        <v>1155</v>
      </c>
      <c r="M981" t="s">
        <v>26</v>
      </c>
      <c r="N981">
        <v>4240</v>
      </c>
    </row>
    <row r="982" spans="1:14" x14ac:dyDescent="0.3">
      <c r="A982">
        <v>2014</v>
      </c>
      <c r="B982" t="s">
        <v>1679</v>
      </c>
      <c r="C982" t="s">
        <v>1680</v>
      </c>
      <c r="D982" t="s">
        <v>22</v>
      </c>
      <c r="E982" t="s">
        <v>23</v>
      </c>
      <c r="F982">
        <v>3.92</v>
      </c>
      <c r="G982">
        <v>57716</v>
      </c>
      <c r="H982" t="s">
        <v>18</v>
      </c>
      <c r="I982">
        <v>434.91</v>
      </c>
      <c r="J982">
        <v>0</v>
      </c>
      <c r="K982">
        <v>3.99</v>
      </c>
      <c r="L982">
        <v>1156</v>
      </c>
      <c r="M982" t="s">
        <v>26</v>
      </c>
      <c r="N982">
        <v>4240</v>
      </c>
    </row>
    <row r="983" spans="1:14" x14ac:dyDescent="0.3">
      <c r="A983">
        <v>1853</v>
      </c>
      <c r="B983" t="s">
        <v>1681</v>
      </c>
      <c r="C983" t="s">
        <v>1682</v>
      </c>
      <c r="D983" t="s">
        <v>22</v>
      </c>
      <c r="E983" t="s">
        <v>536</v>
      </c>
      <c r="F983">
        <v>4.1500000000000004</v>
      </c>
      <c r="G983">
        <v>39758</v>
      </c>
      <c r="H983" t="s">
        <v>18</v>
      </c>
      <c r="I983">
        <v>543.91</v>
      </c>
      <c r="J983">
        <v>326.346</v>
      </c>
      <c r="K983">
        <v>4.99</v>
      </c>
      <c r="L983">
        <v>1156</v>
      </c>
      <c r="M983" t="s">
        <v>45</v>
      </c>
      <c r="N983">
        <v>4240</v>
      </c>
    </row>
    <row r="984" spans="1:14" x14ac:dyDescent="0.3">
      <c r="A984">
        <v>2010</v>
      </c>
      <c r="B984" t="s">
        <v>1683</v>
      </c>
      <c r="C984" t="s">
        <v>593</v>
      </c>
      <c r="D984" t="s">
        <v>22</v>
      </c>
      <c r="E984" t="s">
        <v>52</v>
      </c>
      <c r="F984">
        <v>4.41</v>
      </c>
      <c r="G984">
        <v>82824</v>
      </c>
      <c r="H984" t="s">
        <v>18</v>
      </c>
      <c r="I984">
        <v>543.91</v>
      </c>
      <c r="J984">
        <v>0</v>
      </c>
      <c r="K984">
        <v>4.99</v>
      </c>
      <c r="L984">
        <v>1160</v>
      </c>
      <c r="M984" t="s">
        <v>26</v>
      </c>
      <c r="N984">
        <v>109</v>
      </c>
    </row>
    <row r="985" spans="1:14" x14ac:dyDescent="0.3">
      <c r="A985">
        <v>1999</v>
      </c>
      <c r="B985" t="s">
        <v>1684</v>
      </c>
      <c r="C985" t="s">
        <v>1685</v>
      </c>
      <c r="D985" t="s">
        <v>16</v>
      </c>
      <c r="E985" t="s">
        <v>536</v>
      </c>
      <c r="F985">
        <v>4.16</v>
      </c>
      <c r="G985">
        <v>57259</v>
      </c>
      <c r="H985" t="s">
        <v>18</v>
      </c>
      <c r="I985">
        <v>107.91</v>
      </c>
      <c r="J985">
        <v>0</v>
      </c>
      <c r="K985">
        <v>0.99</v>
      </c>
      <c r="L985">
        <v>1160</v>
      </c>
      <c r="M985" t="s">
        <v>26</v>
      </c>
      <c r="N985">
        <v>109</v>
      </c>
    </row>
    <row r="986" spans="1:14" x14ac:dyDescent="0.3">
      <c r="A986">
        <v>2006</v>
      </c>
      <c r="B986" t="s">
        <v>1686</v>
      </c>
      <c r="C986" t="s">
        <v>1687</v>
      </c>
      <c r="D986" t="s">
        <v>22</v>
      </c>
      <c r="E986" t="s">
        <v>536</v>
      </c>
      <c r="F986">
        <v>4.2</v>
      </c>
      <c r="G986">
        <v>58432</v>
      </c>
      <c r="H986" t="s">
        <v>18</v>
      </c>
      <c r="I986">
        <v>107.91</v>
      </c>
      <c r="J986">
        <v>0</v>
      </c>
      <c r="K986">
        <v>0.99</v>
      </c>
      <c r="L986">
        <v>1161</v>
      </c>
      <c r="M986" t="s">
        <v>26</v>
      </c>
      <c r="N986">
        <v>109</v>
      </c>
    </row>
    <row r="987" spans="1:14" x14ac:dyDescent="0.3">
      <c r="A987">
        <v>2007</v>
      </c>
      <c r="B987" t="s">
        <v>1688</v>
      </c>
      <c r="C987" t="s">
        <v>1689</v>
      </c>
      <c r="D987" t="s">
        <v>22</v>
      </c>
      <c r="E987" t="s">
        <v>23</v>
      </c>
      <c r="F987">
        <v>3.88</v>
      </c>
      <c r="G987">
        <v>53586</v>
      </c>
      <c r="H987" t="s">
        <v>18</v>
      </c>
      <c r="I987">
        <v>761.91</v>
      </c>
      <c r="J987">
        <v>0</v>
      </c>
      <c r="K987">
        <v>6.99</v>
      </c>
      <c r="L987">
        <v>1161</v>
      </c>
      <c r="M987" t="s">
        <v>26</v>
      </c>
      <c r="N987">
        <v>109</v>
      </c>
    </row>
    <row r="988" spans="1:14" x14ac:dyDescent="0.3">
      <c r="A988">
        <v>2012</v>
      </c>
      <c r="B988" t="s">
        <v>1690</v>
      </c>
      <c r="C988" t="s">
        <v>281</v>
      </c>
      <c r="D988" t="s">
        <v>22</v>
      </c>
      <c r="E988" t="s">
        <v>23</v>
      </c>
      <c r="F988">
        <v>3.98</v>
      </c>
      <c r="G988">
        <v>56756</v>
      </c>
      <c r="H988" t="s">
        <v>18</v>
      </c>
      <c r="I988">
        <v>538.91999999999996</v>
      </c>
      <c r="J988">
        <v>0</v>
      </c>
      <c r="K988">
        <v>4.99</v>
      </c>
      <c r="L988">
        <v>1164</v>
      </c>
      <c r="M988" t="s">
        <v>26</v>
      </c>
      <c r="N988">
        <v>108</v>
      </c>
    </row>
    <row r="989" spans="1:14" x14ac:dyDescent="0.3">
      <c r="A989">
        <v>1962</v>
      </c>
      <c r="B989" t="s">
        <v>1691</v>
      </c>
      <c r="C989" t="s">
        <v>1692</v>
      </c>
      <c r="D989" t="s">
        <v>22</v>
      </c>
      <c r="E989" t="s">
        <v>23</v>
      </c>
      <c r="F989">
        <v>3.94</v>
      </c>
      <c r="G989">
        <v>61678</v>
      </c>
      <c r="H989" t="s">
        <v>18</v>
      </c>
      <c r="I989">
        <v>646.91999999999996</v>
      </c>
      <c r="J989">
        <v>388.15199999999999</v>
      </c>
      <c r="K989">
        <v>5.99</v>
      </c>
      <c r="L989">
        <v>1166</v>
      </c>
      <c r="M989" t="s">
        <v>30</v>
      </c>
      <c r="N989">
        <v>108</v>
      </c>
    </row>
    <row r="990" spans="1:14" x14ac:dyDescent="0.3">
      <c r="A990">
        <v>1995</v>
      </c>
      <c r="B990" t="s">
        <v>1693</v>
      </c>
      <c r="C990" t="s">
        <v>1102</v>
      </c>
      <c r="D990" t="s">
        <v>22</v>
      </c>
      <c r="E990" t="s">
        <v>536</v>
      </c>
      <c r="F990">
        <v>4.1900000000000004</v>
      </c>
      <c r="G990">
        <v>61836</v>
      </c>
      <c r="H990" t="s">
        <v>18</v>
      </c>
      <c r="I990">
        <v>970.92</v>
      </c>
      <c r="J990">
        <v>582.55200000000002</v>
      </c>
      <c r="K990">
        <v>8.99</v>
      </c>
      <c r="L990">
        <v>1167</v>
      </c>
      <c r="M990" t="s">
        <v>133</v>
      </c>
      <c r="N990">
        <v>108</v>
      </c>
    </row>
    <row r="991" spans="1:14" x14ac:dyDescent="0.3">
      <c r="A991">
        <v>1959</v>
      </c>
      <c r="B991" t="s">
        <v>1694</v>
      </c>
      <c r="C991" t="s">
        <v>1695</v>
      </c>
      <c r="D991" t="s">
        <v>22</v>
      </c>
      <c r="E991" t="s">
        <v>23</v>
      </c>
      <c r="F991">
        <v>3.97</v>
      </c>
      <c r="G991">
        <v>66721</v>
      </c>
      <c r="H991" t="s">
        <v>18</v>
      </c>
      <c r="I991">
        <v>106.92</v>
      </c>
      <c r="J991">
        <v>0</v>
      </c>
      <c r="K991">
        <v>0.99</v>
      </c>
      <c r="L991">
        <v>1167</v>
      </c>
      <c r="M991" t="s">
        <v>26</v>
      </c>
      <c r="N991">
        <v>108</v>
      </c>
    </row>
    <row r="992" spans="1:14" x14ac:dyDescent="0.3">
      <c r="A992">
        <v>-441</v>
      </c>
      <c r="B992" t="s">
        <v>1696</v>
      </c>
      <c r="C992" t="s">
        <v>562</v>
      </c>
      <c r="D992" t="s">
        <v>22</v>
      </c>
      <c r="E992" t="s">
        <v>23</v>
      </c>
      <c r="F992">
        <v>3.6</v>
      </c>
      <c r="G992">
        <v>67608</v>
      </c>
      <c r="H992" t="s">
        <v>18</v>
      </c>
      <c r="I992">
        <v>106.92</v>
      </c>
      <c r="J992">
        <v>64.152000000000001</v>
      </c>
      <c r="K992">
        <v>0.99</v>
      </c>
      <c r="L992">
        <v>1167</v>
      </c>
      <c r="M992" t="s">
        <v>26</v>
      </c>
      <c r="N992">
        <v>108</v>
      </c>
    </row>
    <row r="993" spans="1:14" x14ac:dyDescent="0.3">
      <c r="A993">
        <v>2009</v>
      </c>
      <c r="B993" t="s">
        <v>1697</v>
      </c>
      <c r="C993" t="s">
        <v>1698</v>
      </c>
      <c r="D993" t="s">
        <v>22</v>
      </c>
      <c r="E993" t="s">
        <v>23</v>
      </c>
      <c r="F993">
        <v>3.63</v>
      </c>
      <c r="G993">
        <v>55459</v>
      </c>
      <c r="H993" t="s">
        <v>18</v>
      </c>
      <c r="I993">
        <v>1659.96</v>
      </c>
      <c r="J993">
        <v>995.976</v>
      </c>
      <c r="K993">
        <v>15.37</v>
      </c>
      <c r="L993">
        <v>1168</v>
      </c>
      <c r="M993" t="s">
        <v>26</v>
      </c>
      <c r="N993">
        <v>108</v>
      </c>
    </row>
    <row r="994" spans="1:14" x14ac:dyDescent="0.3">
      <c r="A994">
        <v>2011</v>
      </c>
      <c r="B994" t="s">
        <v>1699</v>
      </c>
      <c r="C994" t="s">
        <v>1700</v>
      </c>
      <c r="D994" t="s">
        <v>22</v>
      </c>
      <c r="E994" t="s">
        <v>23</v>
      </c>
      <c r="F994">
        <v>3.81</v>
      </c>
      <c r="G994">
        <v>84776</v>
      </c>
      <c r="H994" t="s">
        <v>18</v>
      </c>
      <c r="I994">
        <v>412.56</v>
      </c>
      <c r="J994">
        <v>0</v>
      </c>
      <c r="K994">
        <v>3.82</v>
      </c>
      <c r="L994">
        <v>1169</v>
      </c>
      <c r="M994" t="s">
        <v>26</v>
      </c>
      <c r="N994">
        <v>108</v>
      </c>
    </row>
    <row r="995" spans="1:14" x14ac:dyDescent="0.3">
      <c r="A995">
        <v>2016</v>
      </c>
      <c r="B995" t="s">
        <v>1701</v>
      </c>
      <c r="C995" t="s">
        <v>1702</v>
      </c>
      <c r="D995" t="s">
        <v>22</v>
      </c>
      <c r="E995" t="s">
        <v>23</v>
      </c>
      <c r="F995">
        <v>3.99</v>
      </c>
      <c r="G995">
        <v>80737</v>
      </c>
      <c r="H995" t="s">
        <v>18</v>
      </c>
      <c r="I995">
        <v>430.92</v>
      </c>
      <c r="J995">
        <v>0</v>
      </c>
      <c r="K995">
        <v>3.99</v>
      </c>
      <c r="L995">
        <v>1169</v>
      </c>
      <c r="M995" t="s">
        <v>26</v>
      </c>
      <c r="N995">
        <v>108</v>
      </c>
    </row>
    <row r="996" spans="1:14" x14ac:dyDescent="0.3">
      <c r="A996">
        <v>2003</v>
      </c>
      <c r="B996" t="s">
        <v>1703</v>
      </c>
      <c r="C996" t="s">
        <v>378</v>
      </c>
      <c r="D996" t="s">
        <v>16</v>
      </c>
      <c r="E996" t="s">
        <v>23</v>
      </c>
      <c r="F996">
        <v>3.82</v>
      </c>
      <c r="G996">
        <v>61361</v>
      </c>
      <c r="H996" t="s">
        <v>18</v>
      </c>
      <c r="I996">
        <v>430.92</v>
      </c>
      <c r="J996">
        <v>0</v>
      </c>
      <c r="K996">
        <v>3.99</v>
      </c>
      <c r="L996">
        <v>1170</v>
      </c>
      <c r="M996" t="s">
        <v>26</v>
      </c>
      <c r="N996">
        <v>108</v>
      </c>
    </row>
    <row r="997" spans="1:14" x14ac:dyDescent="0.3">
      <c r="A997">
        <v>1871</v>
      </c>
      <c r="B997" t="s">
        <v>1704</v>
      </c>
      <c r="C997" t="s">
        <v>1705</v>
      </c>
      <c r="D997" t="s">
        <v>22</v>
      </c>
      <c r="E997" t="s">
        <v>17</v>
      </c>
      <c r="F997">
        <v>3.21</v>
      </c>
      <c r="G997">
        <v>68448</v>
      </c>
      <c r="H997" t="s">
        <v>18</v>
      </c>
      <c r="I997">
        <v>1186.92</v>
      </c>
      <c r="J997">
        <v>712.15200000000004</v>
      </c>
      <c r="K997">
        <v>10.99</v>
      </c>
      <c r="L997">
        <v>1173</v>
      </c>
      <c r="M997" t="s">
        <v>33</v>
      </c>
      <c r="N997">
        <v>108</v>
      </c>
    </row>
    <row r="998" spans="1:14" x14ac:dyDescent="0.3">
      <c r="A998">
        <v>2014</v>
      </c>
      <c r="B998" t="s">
        <v>1706</v>
      </c>
      <c r="C998" t="s">
        <v>1707</v>
      </c>
      <c r="D998" t="s">
        <v>22</v>
      </c>
      <c r="E998" t="s">
        <v>536</v>
      </c>
      <c r="F998">
        <v>4.17</v>
      </c>
      <c r="G998">
        <v>60236</v>
      </c>
      <c r="H998" t="s">
        <v>18</v>
      </c>
      <c r="I998">
        <v>1150.2</v>
      </c>
      <c r="J998">
        <v>690.12</v>
      </c>
      <c r="K998">
        <v>10.65</v>
      </c>
      <c r="L998">
        <v>1174</v>
      </c>
      <c r="M998" t="s">
        <v>33</v>
      </c>
      <c r="N998">
        <v>108</v>
      </c>
    </row>
    <row r="999" spans="1:14" x14ac:dyDescent="0.3">
      <c r="A999">
        <v>1999</v>
      </c>
      <c r="B999" t="s">
        <v>1708</v>
      </c>
      <c r="C999" t="s">
        <v>1709</v>
      </c>
      <c r="D999" t="s">
        <v>22</v>
      </c>
      <c r="E999" t="s">
        <v>23</v>
      </c>
      <c r="F999">
        <v>3.85</v>
      </c>
      <c r="G999">
        <v>57993</v>
      </c>
      <c r="H999" t="s">
        <v>18</v>
      </c>
      <c r="I999">
        <v>430.92</v>
      </c>
      <c r="J999">
        <v>0</v>
      </c>
      <c r="K999">
        <v>3.99</v>
      </c>
      <c r="L999">
        <v>1175</v>
      </c>
      <c r="M999" t="s">
        <v>26</v>
      </c>
      <c r="N999">
        <v>108</v>
      </c>
    </row>
    <row r="1000" spans="1:14" x14ac:dyDescent="0.3">
      <c r="A1000">
        <v>2006</v>
      </c>
      <c r="B1000" t="s">
        <v>1710</v>
      </c>
      <c r="C1000" t="s">
        <v>1711</v>
      </c>
      <c r="D1000" t="s">
        <v>22</v>
      </c>
      <c r="E1000" t="s">
        <v>23</v>
      </c>
      <c r="F1000">
        <v>3.51</v>
      </c>
      <c r="G1000">
        <v>51461</v>
      </c>
      <c r="H1000" t="s">
        <v>18</v>
      </c>
      <c r="I1000">
        <v>1327.32</v>
      </c>
      <c r="J1000">
        <v>796.39200000000005</v>
      </c>
      <c r="K1000">
        <v>12.29</v>
      </c>
      <c r="L1000">
        <v>1179</v>
      </c>
      <c r="M1000" t="s">
        <v>19</v>
      </c>
      <c r="N1000">
        <v>108</v>
      </c>
    </row>
    <row r="1001" spans="1:14" x14ac:dyDescent="0.3">
      <c r="A1001">
        <v>1978</v>
      </c>
      <c r="B1001" t="s">
        <v>1712</v>
      </c>
      <c r="C1001" t="s">
        <v>1193</v>
      </c>
      <c r="D1001" t="s">
        <v>22</v>
      </c>
      <c r="E1001" t="s">
        <v>536</v>
      </c>
      <c r="F1001">
        <v>4.13</v>
      </c>
      <c r="G1001">
        <v>75851</v>
      </c>
      <c r="H1001" t="s">
        <v>18</v>
      </c>
      <c r="I1001">
        <v>322.92</v>
      </c>
      <c r="J1001">
        <v>0</v>
      </c>
      <c r="K1001">
        <v>2.99</v>
      </c>
      <c r="L1001">
        <v>1182</v>
      </c>
      <c r="M1001" t="s">
        <v>26</v>
      </c>
      <c r="N1001">
        <v>108</v>
      </c>
    </row>
    <row r="1002" spans="1:14" x14ac:dyDescent="0.3">
      <c r="A1002">
        <v>2003</v>
      </c>
      <c r="B1002" t="s">
        <v>1713</v>
      </c>
      <c r="C1002" t="s">
        <v>1714</v>
      </c>
      <c r="D1002" t="s">
        <v>22</v>
      </c>
      <c r="E1002" t="s">
        <v>23</v>
      </c>
      <c r="F1002">
        <v>3.99</v>
      </c>
      <c r="G1002">
        <v>66823</v>
      </c>
      <c r="H1002" t="s">
        <v>18</v>
      </c>
      <c r="I1002">
        <v>322.92</v>
      </c>
      <c r="J1002">
        <v>0</v>
      </c>
      <c r="K1002">
        <v>2.99</v>
      </c>
      <c r="L1002">
        <v>1183</v>
      </c>
      <c r="M1002" t="s">
        <v>26</v>
      </c>
      <c r="N1002">
        <v>108</v>
      </c>
    </row>
    <row r="1003" spans="1:14" x14ac:dyDescent="0.3">
      <c r="A1003">
        <v>2011</v>
      </c>
      <c r="B1003" t="s">
        <v>1715</v>
      </c>
      <c r="C1003" t="s">
        <v>194</v>
      </c>
      <c r="D1003" t="s">
        <v>16</v>
      </c>
      <c r="E1003" t="s">
        <v>23</v>
      </c>
      <c r="F1003">
        <v>3.76</v>
      </c>
      <c r="G1003">
        <v>62494</v>
      </c>
      <c r="H1003" t="s">
        <v>18</v>
      </c>
      <c r="I1003">
        <v>516.24</v>
      </c>
      <c r="J1003">
        <v>309.74400000000003</v>
      </c>
      <c r="K1003">
        <v>4.78</v>
      </c>
      <c r="L1003">
        <v>1184</v>
      </c>
      <c r="M1003" t="s">
        <v>26</v>
      </c>
      <c r="N1003">
        <v>108</v>
      </c>
    </row>
    <row r="1004" spans="1:14" x14ac:dyDescent="0.3">
      <c r="A1004">
        <v>1992</v>
      </c>
      <c r="B1004" t="s">
        <v>1716</v>
      </c>
      <c r="C1004" t="s">
        <v>332</v>
      </c>
      <c r="D1004" t="s">
        <v>16</v>
      </c>
      <c r="E1004" t="s">
        <v>23</v>
      </c>
      <c r="F1004">
        <v>3.7</v>
      </c>
      <c r="G1004">
        <v>67267</v>
      </c>
      <c r="H1004" t="s">
        <v>29</v>
      </c>
      <c r="I1004">
        <v>214.92</v>
      </c>
      <c r="J1004">
        <v>128.952</v>
      </c>
      <c r="K1004">
        <v>1.99</v>
      </c>
      <c r="L1004">
        <v>1186</v>
      </c>
      <c r="M1004" t="s">
        <v>19</v>
      </c>
      <c r="N1004">
        <v>108</v>
      </c>
    </row>
    <row r="1005" spans="1:14" x14ac:dyDescent="0.3">
      <c r="A1005">
        <v>2005</v>
      </c>
      <c r="B1005" t="s">
        <v>1717</v>
      </c>
      <c r="C1005" t="s">
        <v>1116</v>
      </c>
      <c r="D1005" t="s">
        <v>22</v>
      </c>
      <c r="E1005" t="s">
        <v>536</v>
      </c>
      <c r="F1005">
        <v>4.0199999999999996</v>
      </c>
      <c r="G1005">
        <v>58973</v>
      </c>
      <c r="H1005" t="s">
        <v>40</v>
      </c>
      <c r="I1005">
        <v>139.32</v>
      </c>
      <c r="J1005">
        <v>83.591999999999999</v>
      </c>
      <c r="K1005">
        <v>1.29</v>
      </c>
      <c r="L1005">
        <v>1187</v>
      </c>
      <c r="M1005" t="s">
        <v>26</v>
      </c>
      <c r="N1005">
        <v>108</v>
      </c>
    </row>
    <row r="1006" spans="1:14" x14ac:dyDescent="0.3">
      <c r="A1006">
        <v>2006</v>
      </c>
      <c r="B1006" t="s">
        <v>1718</v>
      </c>
      <c r="C1006" t="s">
        <v>102</v>
      </c>
      <c r="D1006" t="s">
        <v>16</v>
      </c>
      <c r="E1006" t="s">
        <v>536</v>
      </c>
      <c r="F1006">
        <v>4.16</v>
      </c>
      <c r="G1006">
        <v>75436</v>
      </c>
      <c r="H1006" t="s">
        <v>18</v>
      </c>
      <c r="I1006">
        <v>748.44</v>
      </c>
      <c r="J1006">
        <v>449.06400000000002</v>
      </c>
      <c r="K1006">
        <v>6.93</v>
      </c>
      <c r="L1006">
        <v>1190</v>
      </c>
      <c r="M1006" t="s">
        <v>30</v>
      </c>
      <c r="N1006">
        <v>108</v>
      </c>
    </row>
    <row r="1007" spans="1:14" x14ac:dyDescent="0.3">
      <c r="A1007">
        <v>1996</v>
      </c>
      <c r="B1007" t="s">
        <v>1719</v>
      </c>
      <c r="C1007" t="s">
        <v>985</v>
      </c>
      <c r="D1007" t="s">
        <v>16</v>
      </c>
      <c r="E1007" t="s">
        <v>23</v>
      </c>
      <c r="F1007">
        <v>3.98</v>
      </c>
      <c r="G1007">
        <v>60624</v>
      </c>
      <c r="H1007" t="s">
        <v>18</v>
      </c>
      <c r="I1007">
        <v>106.92</v>
      </c>
      <c r="J1007">
        <v>64.152000000000001</v>
      </c>
      <c r="K1007">
        <v>0.99</v>
      </c>
      <c r="L1007">
        <v>1192</v>
      </c>
      <c r="M1007" t="s">
        <v>26</v>
      </c>
      <c r="N1007">
        <v>108</v>
      </c>
    </row>
    <row r="1008" spans="1:14" x14ac:dyDescent="0.3">
      <c r="A1008">
        <v>2006</v>
      </c>
      <c r="B1008" t="s">
        <v>1720</v>
      </c>
      <c r="C1008" t="s">
        <v>340</v>
      </c>
      <c r="D1008" t="s">
        <v>22</v>
      </c>
      <c r="E1008" t="s">
        <v>23</v>
      </c>
      <c r="F1008">
        <v>3.84</v>
      </c>
      <c r="G1008">
        <v>62135</v>
      </c>
      <c r="H1008" t="s">
        <v>18</v>
      </c>
      <c r="I1008">
        <v>646.91999999999996</v>
      </c>
      <c r="J1008">
        <v>388.15199999999999</v>
      </c>
      <c r="K1008">
        <v>5.99</v>
      </c>
      <c r="L1008">
        <v>1193</v>
      </c>
      <c r="M1008" t="s">
        <v>30</v>
      </c>
      <c r="N1008">
        <v>108</v>
      </c>
    </row>
    <row r="1009" spans="1:14" x14ac:dyDescent="0.3">
      <c r="A1009">
        <v>2015</v>
      </c>
      <c r="B1009" t="s">
        <v>1721</v>
      </c>
      <c r="C1009" t="s">
        <v>1722</v>
      </c>
      <c r="D1009" t="s">
        <v>22</v>
      </c>
      <c r="E1009" t="s">
        <v>17</v>
      </c>
      <c r="F1009">
        <v>3.4</v>
      </c>
      <c r="G1009">
        <v>42339</v>
      </c>
      <c r="H1009" t="s">
        <v>18</v>
      </c>
      <c r="I1009">
        <v>1186.92</v>
      </c>
      <c r="J1009">
        <v>712.15200000000004</v>
      </c>
      <c r="K1009">
        <v>10.99</v>
      </c>
      <c r="L1009">
        <v>1194</v>
      </c>
      <c r="M1009" t="s">
        <v>33</v>
      </c>
      <c r="N1009">
        <v>108</v>
      </c>
    </row>
    <row r="1010" spans="1:14" x14ac:dyDescent="0.3">
      <c r="A1010">
        <v>2016</v>
      </c>
      <c r="B1010" t="s">
        <v>1723</v>
      </c>
      <c r="C1010" t="s">
        <v>1724</v>
      </c>
      <c r="D1010" t="s">
        <v>22</v>
      </c>
      <c r="E1010" t="s">
        <v>536</v>
      </c>
      <c r="F1010">
        <v>4.04</v>
      </c>
      <c r="G1010">
        <v>72052</v>
      </c>
      <c r="H1010" t="s">
        <v>18</v>
      </c>
      <c r="I1010">
        <v>538.91999999999996</v>
      </c>
      <c r="J1010">
        <v>0</v>
      </c>
      <c r="K1010">
        <v>4.99</v>
      </c>
      <c r="L1010">
        <v>1195</v>
      </c>
      <c r="M1010" t="s">
        <v>26</v>
      </c>
      <c r="N1010">
        <v>108</v>
      </c>
    </row>
    <row r="1011" spans="1:14" x14ac:dyDescent="0.3">
      <c r="A1011">
        <v>2007</v>
      </c>
      <c r="B1011" t="s">
        <v>1725</v>
      </c>
      <c r="C1011" t="s">
        <v>839</v>
      </c>
      <c r="D1011" t="s">
        <v>16</v>
      </c>
      <c r="E1011" t="s">
        <v>23</v>
      </c>
      <c r="F1011">
        <v>3.91</v>
      </c>
      <c r="G1011">
        <v>76598</v>
      </c>
      <c r="H1011" t="s">
        <v>18</v>
      </c>
      <c r="I1011">
        <v>106.92</v>
      </c>
      <c r="J1011">
        <v>64.152000000000001</v>
      </c>
      <c r="K1011">
        <v>0.99</v>
      </c>
      <c r="L1011">
        <v>1196</v>
      </c>
      <c r="M1011" t="s">
        <v>26</v>
      </c>
      <c r="N1011">
        <v>108</v>
      </c>
    </row>
    <row r="1012" spans="1:14" x14ac:dyDescent="0.3">
      <c r="A1012">
        <v>2011</v>
      </c>
      <c r="B1012" t="s">
        <v>1726</v>
      </c>
      <c r="C1012" t="s">
        <v>440</v>
      </c>
      <c r="D1012" t="s">
        <v>22</v>
      </c>
      <c r="E1012" t="s">
        <v>536</v>
      </c>
      <c r="F1012">
        <v>4.24</v>
      </c>
      <c r="G1012">
        <v>82373</v>
      </c>
      <c r="H1012" t="s">
        <v>40</v>
      </c>
      <c r="I1012">
        <v>430.92</v>
      </c>
      <c r="J1012">
        <v>0</v>
      </c>
      <c r="K1012">
        <v>3.99</v>
      </c>
      <c r="L1012">
        <v>1196</v>
      </c>
      <c r="M1012" t="s">
        <v>26</v>
      </c>
      <c r="N1012">
        <v>108</v>
      </c>
    </row>
    <row r="1013" spans="1:14" x14ac:dyDescent="0.3">
      <c r="A1013">
        <v>2012</v>
      </c>
      <c r="B1013" t="s">
        <v>1727</v>
      </c>
      <c r="C1013" t="s">
        <v>1728</v>
      </c>
      <c r="D1013" t="s">
        <v>22</v>
      </c>
      <c r="E1013" t="s">
        <v>23</v>
      </c>
      <c r="F1013">
        <v>3.77</v>
      </c>
      <c r="G1013">
        <v>84438</v>
      </c>
      <c r="H1013" t="s">
        <v>18</v>
      </c>
      <c r="I1013">
        <v>538.91999999999996</v>
      </c>
      <c r="J1013">
        <v>323.35199999999998</v>
      </c>
      <c r="K1013">
        <v>4.99</v>
      </c>
      <c r="L1013">
        <v>1197</v>
      </c>
      <c r="M1013" t="s">
        <v>19</v>
      </c>
      <c r="N1013">
        <v>108</v>
      </c>
    </row>
    <row r="1014" spans="1:14" x14ac:dyDescent="0.3">
      <c r="A1014">
        <v>2012</v>
      </c>
      <c r="B1014" t="s">
        <v>1729</v>
      </c>
      <c r="C1014" t="s">
        <v>158</v>
      </c>
      <c r="D1014" t="s">
        <v>22</v>
      </c>
      <c r="E1014" t="s">
        <v>23</v>
      </c>
      <c r="F1014">
        <v>3.79</v>
      </c>
      <c r="G1014">
        <v>48286</v>
      </c>
      <c r="H1014" t="s">
        <v>18</v>
      </c>
      <c r="I1014">
        <v>322.92</v>
      </c>
      <c r="J1014">
        <v>193.75200000000001</v>
      </c>
      <c r="K1014">
        <v>2.99</v>
      </c>
      <c r="L1014">
        <v>1198</v>
      </c>
      <c r="M1014" t="s">
        <v>26</v>
      </c>
      <c r="N1014">
        <v>108</v>
      </c>
    </row>
    <row r="1015" spans="1:14" x14ac:dyDescent="0.3">
      <c r="A1015">
        <v>1999</v>
      </c>
      <c r="B1015" t="s">
        <v>1730</v>
      </c>
      <c r="C1015" t="s">
        <v>1731</v>
      </c>
      <c r="D1015" t="s">
        <v>22</v>
      </c>
      <c r="E1015" t="s">
        <v>23</v>
      </c>
      <c r="F1015">
        <v>3.83</v>
      </c>
      <c r="G1015">
        <v>50422</v>
      </c>
      <c r="H1015" t="s">
        <v>29</v>
      </c>
      <c r="I1015">
        <v>1078.92</v>
      </c>
      <c r="J1015">
        <v>647.35199999999998</v>
      </c>
      <c r="K1015">
        <v>9.99</v>
      </c>
      <c r="L1015">
        <v>1198</v>
      </c>
      <c r="M1015" t="s">
        <v>45</v>
      </c>
      <c r="N1015">
        <v>108</v>
      </c>
    </row>
    <row r="1016" spans="1:14" x14ac:dyDescent="0.3">
      <c r="A1016">
        <v>1928</v>
      </c>
      <c r="B1016" t="s">
        <v>1732</v>
      </c>
      <c r="C1016" t="s">
        <v>1733</v>
      </c>
      <c r="D1016" t="s">
        <v>16</v>
      </c>
      <c r="E1016" t="s">
        <v>536</v>
      </c>
      <c r="F1016">
        <v>4.3600000000000003</v>
      </c>
      <c r="G1016">
        <v>69102</v>
      </c>
      <c r="H1016" t="s">
        <v>18</v>
      </c>
      <c r="I1016">
        <v>214.92</v>
      </c>
      <c r="J1016">
        <v>0</v>
      </c>
      <c r="K1016">
        <v>1.99</v>
      </c>
      <c r="L1016">
        <v>1199</v>
      </c>
      <c r="M1016" t="s">
        <v>26</v>
      </c>
      <c r="N1016">
        <v>108</v>
      </c>
    </row>
    <row r="1017" spans="1:14" x14ac:dyDescent="0.3">
      <c r="A1017">
        <v>2010</v>
      </c>
      <c r="B1017" t="s">
        <v>1734</v>
      </c>
      <c r="C1017" t="s">
        <v>627</v>
      </c>
      <c r="D1017" t="s">
        <v>16</v>
      </c>
      <c r="E1017" t="s">
        <v>536</v>
      </c>
      <c r="F1017">
        <v>4.24</v>
      </c>
      <c r="G1017">
        <v>58906</v>
      </c>
      <c r="H1017" t="s">
        <v>18</v>
      </c>
      <c r="I1017">
        <v>430.92</v>
      </c>
      <c r="J1017">
        <v>0</v>
      </c>
      <c r="K1017">
        <v>3.99</v>
      </c>
      <c r="L1017">
        <v>1199</v>
      </c>
      <c r="M1017" t="s">
        <v>26</v>
      </c>
      <c r="N1017">
        <v>108</v>
      </c>
    </row>
    <row r="1018" spans="1:14" x14ac:dyDescent="0.3">
      <c r="A1018">
        <v>2004</v>
      </c>
      <c r="B1018" t="s">
        <v>1735</v>
      </c>
      <c r="C1018" t="s">
        <v>1736</v>
      </c>
      <c r="D1018" t="s">
        <v>22</v>
      </c>
      <c r="E1018" t="s">
        <v>17</v>
      </c>
      <c r="F1018">
        <v>3.1</v>
      </c>
      <c r="G1018">
        <v>62760</v>
      </c>
      <c r="H1018" t="s">
        <v>18</v>
      </c>
      <c r="I1018">
        <v>322.92</v>
      </c>
      <c r="J1018">
        <v>0</v>
      </c>
      <c r="K1018">
        <v>2.99</v>
      </c>
      <c r="L1018">
        <v>1199</v>
      </c>
      <c r="M1018" t="s">
        <v>26</v>
      </c>
      <c r="N1018">
        <v>108</v>
      </c>
    </row>
    <row r="1019" spans="1:14" x14ac:dyDescent="0.3">
      <c r="A1019">
        <v>1970</v>
      </c>
      <c r="B1019" t="s">
        <v>1737</v>
      </c>
      <c r="C1019" t="s">
        <v>1738</v>
      </c>
      <c r="D1019" t="s">
        <v>22</v>
      </c>
      <c r="E1019" t="s">
        <v>536</v>
      </c>
      <c r="F1019">
        <v>4.18</v>
      </c>
      <c r="G1019">
        <v>70119</v>
      </c>
      <c r="H1019" t="s">
        <v>40</v>
      </c>
      <c r="I1019">
        <v>322.92</v>
      </c>
      <c r="J1019">
        <v>193.75200000000001</v>
      </c>
      <c r="K1019">
        <v>2.99</v>
      </c>
      <c r="L1019">
        <v>1200</v>
      </c>
      <c r="M1019" t="s">
        <v>19</v>
      </c>
      <c r="N1019">
        <v>108</v>
      </c>
    </row>
    <row r="1020" spans="1:14" x14ac:dyDescent="0.3">
      <c r="A1020">
        <v>2002</v>
      </c>
      <c r="B1020" t="s">
        <v>1739</v>
      </c>
      <c r="C1020" t="s">
        <v>652</v>
      </c>
      <c r="D1020" t="s">
        <v>16</v>
      </c>
      <c r="E1020" t="s">
        <v>23</v>
      </c>
      <c r="F1020">
        <v>3.97</v>
      </c>
      <c r="G1020">
        <v>83981</v>
      </c>
      <c r="H1020" t="s">
        <v>18</v>
      </c>
      <c r="I1020">
        <v>105.93</v>
      </c>
      <c r="J1020">
        <v>0</v>
      </c>
      <c r="K1020">
        <v>0.99</v>
      </c>
      <c r="L1020">
        <v>1201</v>
      </c>
      <c r="M1020" t="s">
        <v>26</v>
      </c>
      <c r="N1020">
        <v>107</v>
      </c>
    </row>
    <row r="1021" spans="1:14" x14ac:dyDescent="0.3">
      <c r="A1021">
        <v>2010</v>
      </c>
      <c r="B1021" t="s">
        <v>1740</v>
      </c>
      <c r="C1021" t="s">
        <v>265</v>
      </c>
      <c r="D1021" t="s">
        <v>16</v>
      </c>
      <c r="E1021" t="s">
        <v>23</v>
      </c>
      <c r="F1021">
        <v>3.91</v>
      </c>
      <c r="G1021">
        <v>75834</v>
      </c>
      <c r="H1021" t="s">
        <v>18</v>
      </c>
      <c r="I1021">
        <v>854.93</v>
      </c>
      <c r="J1021">
        <v>512.95799999999997</v>
      </c>
      <c r="K1021">
        <v>7.99</v>
      </c>
      <c r="L1021">
        <v>1201</v>
      </c>
      <c r="M1021" t="s">
        <v>45</v>
      </c>
      <c r="N1021">
        <v>107</v>
      </c>
    </row>
    <row r="1022" spans="1:14" x14ac:dyDescent="0.3">
      <c r="A1022">
        <v>2016</v>
      </c>
      <c r="B1022" t="s">
        <v>1741</v>
      </c>
      <c r="C1022" t="s">
        <v>1742</v>
      </c>
      <c r="D1022" t="s">
        <v>22</v>
      </c>
      <c r="E1022" t="s">
        <v>23</v>
      </c>
      <c r="F1022">
        <v>3.93</v>
      </c>
      <c r="G1022">
        <v>57865</v>
      </c>
      <c r="H1022" t="s">
        <v>29</v>
      </c>
      <c r="I1022">
        <v>919.13</v>
      </c>
      <c r="J1022">
        <v>551.47799999999995</v>
      </c>
      <c r="K1022">
        <v>8.59</v>
      </c>
      <c r="L1022">
        <v>1201</v>
      </c>
      <c r="M1022" t="s">
        <v>33</v>
      </c>
      <c r="N1022">
        <v>107</v>
      </c>
    </row>
    <row r="1023" spans="1:14" x14ac:dyDescent="0.3">
      <c r="A1023">
        <v>1974</v>
      </c>
      <c r="B1023" t="s">
        <v>1743</v>
      </c>
      <c r="C1023" t="s">
        <v>1744</v>
      </c>
      <c r="D1023" t="s">
        <v>16</v>
      </c>
      <c r="E1023" t="s">
        <v>536</v>
      </c>
      <c r="F1023">
        <v>4.3</v>
      </c>
      <c r="G1023">
        <v>58372</v>
      </c>
      <c r="H1023" t="s">
        <v>40</v>
      </c>
      <c r="I1023">
        <v>105.93</v>
      </c>
      <c r="J1023">
        <v>63.558</v>
      </c>
      <c r="K1023">
        <v>0.99</v>
      </c>
      <c r="L1023">
        <v>1203</v>
      </c>
      <c r="M1023" t="s">
        <v>26</v>
      </c>
      <c r="N1023">
        <v>107</v>
      </c>
    </row>
    <row r="1024" spans="1:14" x14ac:dyDescent="0.3">
      <c r="A1024">
        <v>1995</v>
      </c>
      <c r="B1024" t="s">
        <v>1745</v>
      </c>
      <c r="C1024" t="s">
        <v>1013</v>
      </c>
      <c r="D1024" t="s">
        <v>16</v>
      </c>
      <c r="E1024" t="s">
        <v>536</v>
      </c>
      <c r="F1024">
        <v>4.16</v>
      </c>
      <c r="G1024">
        <v>73883</v>
      </c>
      <c r="H1024" t="s">
        <v>29</v>
      </c>
      <c r="I1024">
        <v>426.93</v>
      </c>
      <c r="J1024">
        <v>256.15800000000002</v>
      </c>
      <c r="K1024">
        <v>3.99</v>
      </c>
      <c r="L1024">
        <v>1206</v>
      </c>
      <c r="M1024" t="s">
        <v>33</v>
      </c>
      <c r="N1024">
        <v>107</v>
      </c>
    </row>
    <row r="1025" spans="1:14" x14ac:dyDescent="0.3">
      <c r="A1025">
        <v>2006</v>
      </c>
      <c r="B1025" t="s">
        <v>1746</v>
      </c>
      <c r="C1025" t="s">
        <v>1122</v>
      </c>
      <c r="D1025" t="s">
        <v>22</v>
      </c>
      <c r="E1025" t="s">
        <v>536</v>
      </c>
      <c r="F1025">
        <v>4.24</v>
      </c>
      <c r="G1025">
        <v>63838</v>
      </c>
      <c r="H1025" t="s">
        <v>18</v>
      </c>
      <c r="I1025">
        <v>1272.23</v>
      </c>
      <c r="J1025">
        <v>763.33799999999997</v>
      </c>
      <c r="K1025">
        <v>11.89</v>
      </c>
      <c r="L1025">
        <v>1207</v>
      </c>
      <c r="M1025" t="s">
        <v>19</v>
      </c>
      <c r="N1025">
        <v>107</v>
      </c>
    </row>
    <row r="1026" spans="1:14" x14ac:dyDescent="0.3">
      <c r="A1026">
        <v>1896</v>
      </c>
      <c r="B1026" t="s">
        <v>1747</v>
      </c>
      <c r="C1026" t="s">
        <v>1206</v>
      </c>
      <c r="D1026" t="s">
        <v>22</v>
      </c>
      <c r="E1026" t="s">
        <v>23</v>
      </c>
      <c r="F1026">
        <v>3.72</v>
      </c>
      <c r="G1026">
        <v>60346</v>
      </c>
      <c r="H1026" t="s">
        <v>18</v>
      </c>
      <c r="I1026">
        <v>640.92999999999995</v>
      </c>
      <c r="J1026">
        <v>0</v>
      </c>
      <c r="K1026">
        <v>5.99</v>
      </c>
      <c r="L1026">
        <v>1212</v>
      </c>
      <c r="M1026" t="s">
        <v>26</v>
      </c>
      <c r="N1026">
        <v>107</v>
      </c>
    </row>
    <row r="1027" spans="1:14" x14ac:dyDescent="0.3">
      <c r="A1027">
        <v>2012</v>
      </c>
      <c r="B1027" t="s">
        <v>1748</v>
      </c>
      <c r="C1027" t="s">
        <v>429</v>
      </c>
      <c r="D1027" t="s">
        <v>16</v>
      </c>
      <c r="E1027" t="s">
        <v>536</v>
      </c>
      <c r="F1027">
        <v>4.34</v>
      </c>
      <c r="G1027">
        <v>92014</v>
      </c>
      <c r="H1027" t="s">
        <v>18</v>
      </c>
      <c r="I1027">
        <v>105.93</v>
      </c>
      <c r="J1027">
        <v>0</v>
      </c>
      <c r="K1027">
        <v>0.99</v>
      </c>
      <c r="L1027">
        <v>1213</v>
      </c>
      <c r="M1027" t="s">
        <v>26</v>
      </c>
      <c r="N1027">
        <v>107</v>
      </c>
    </row>
    <row r="1028" spans="1:14" x14ac:dyDescent="0.3">
      <c r="A1028">
        <v>2008</v>
      </c>
      <c r="B1028" t="s">
        <v>1749</v>
      </c>
      <c r="C1028" t="s">
        <v>529</v>
      </c>
      <c r="D1028" t="s">
        <v>16</v>
      </c>
      <c r="E1028" t="s">
        <v>536</v>
      </c>
      <c r="F1028">
        <v>4.08</v>
      </c>
      <c r="G1028">
        <v>55398</v>
      </c>
      <c r="H1028" t="s">
        <v>18</v>
      </c>
      <c r="I1028">
        <v>408.74</v>
      </c>
      <c r="J1028">
        <v>0</v>
      </c>
      <c r="K1028">
        <v>3.82</v>
      </c>
      <c r="L1028">
        <v>1214</v>
      </c>
      <c r="M1028" t="s">
        <v>26</v>
      </c>
      <c r="N1028">
        <v>107</v>
      </c>
    </row>
    <row r="1029" spans="1:14" x14ac:dyDescent="0.3">
      <c r="A1029">
        <v>2010</v>
      </c>
      <c r="B1029" t="s">
        <v>1750</v>
      </c>
      <c r="C1029" t="s">
        <v>1751</v>
      </c>
      <c r="D1029" t="s">
        <v>16</v>
      </c>
      <c r="E1029" t="s">
        <v>536</v>
      </c>
      <c r="F1029">
        <v>4.37</v>
      </c>
      <c r="G1029">
        <v>63756</v>
      </c>
      <c r="H1029" t="s">
        <v>40</v>
      </c>
      <c r="I1029">
        <v>319.93</v>
      </c>
      <c r="J1029">
        <v>0</v>
      </c>
      <c r="K1029">
        <v>2.99</v>
      </c>
      <c r="L1029">
        <v>1215</v>
      </c>
      <c r="M1029" t="s">
        <v>26</v>
      </c>
      <c r="N1029">
        <v>107</v>
      </c>
    </row>
    <row r="1030" spans="1:14" x14ac:dyDescent="0.3">
      <c r="A1030">
        <v>2012</v>
      </c>
      <c r="B1030" t="s">
        <v>1752</v>
      </c>
      <c r="C1030" t="s">
        <v>166</v>
      </c>
      <c r="D1030" t="s">
        <v>22</v>
      </c>
      <c r="E1030" t="s">
        <v>536</v>
      </c>
      <c r="F1030">
        <v>4.03</v>
      </c>
      <c r="G1030">
        <v>79360</v>
      </c>
      <c r="H1030" t="s">
        <v>40</v>
      </c>
      <c r="I1030">
        <v>1282.93</v>
      </c>
      <c r="J1030">
        <v>769.75800000000004</v>
      </c>
      <c r="K1030">
        <v>11.99</v>
      </c>
      <c r="L1030">
        <v>1216</v>
      </c>
      <c r="M1030" t="s">
        <v>45</v>
      </c>
      <c r="N1030">
        <v>107</v>
      </c>
    </row>
    <row r="1031" spans="1:14" x14ac:dyDescent="0.3">
      <c r="A1031">
        <v>2010</v>
      </c>
      <c r="B1031" t="s">
        <v>1753</v>
      </c>
      <c r="C1031" t="s">
        <v>1754</v>
      </c>
      <c r="D1031" t="s">
        <v>22</v>
      </c>
      <c r="E1031" t="s">
        <v>23</v>
      </c>
      <c r="F1031">
        <v>3.89</v>
      </c>
      <c r="G1031">
        <v>45319</v>
      </c>
      <c r="H1031" t="s">
        <v>18</v>
      </c>
      <c r="I1031">
        <v>640.92999999999995</v>
      </c>
      <c r="J1031">
        <v>384.55799999999999</v>
      </c>
      <c r="K1031">
        <v>5.99</v>
      </c>
      <c r="L1031">
        <v>1217</v>
      </c>
      <c r="M1031" t="s">
        <v>133</v>
      </c>
      <c r="N1031">
        <v>107</v>
      </c>
    </row>
    <row r="1032" spans="1:14" x14ac:dyDescent="0.3">
      <c r="A1032">
        <v>1957</v>
      </c>
      <c r="B1032" t="s">
        <v>1755</v>
      </c>
      <c r="C1032" t="s">
        <v>1756</v>
      </c>
      <c r="D1032" t="s">
        <v>22</v>
      </c>
      <c r="E1032" t="s">
        <v>536</v>
      </c>
      <c r="F1032">
        <v>4.03</v>
      </c>
      <c r="G1032">
        <v>59973</v>
      </c>
      <c r="H1032" t="s">
        <v>29</v>
      </c>
      <c r="I1032">
        <v>854.93</v>
      </c>
      <c r="J1032">
        <v>512.95799999999997</v>
      </c>
      <c r="K1032">
        <v>7.99</v>
      </c>
      <c r="L1032">
        <v>1217</v>
      </c>
      <c r="M1032" t="s">
        <v>19</v>
      </c>
      <c r="N1032">
        <v>107</v>
      </c>
    </row>
    <row r="1033" spans="1:14" x14ac:dyDescent="0.3">
      <c r="A1033">
        <v>2015</v>
      </c>
      <c r="B1033" t="s">
        <v>1757</v>
      </c>
      <c r="C1033" t="s">
        <v>42</v>
      </c>
      <c r="D1033" t="s">
        <v>92</v>
      </c>
      <c r="E1033" t="s">
        <v>536</v>
      </c>
      <c r="F1033">
        <v>4.25</v>
      </c>
      <c r="G1033">
        <v>72611</v>
      </c>
      <c r="H1033" t="s">
        <v>40</v>
      </c>
      <c r="I1033">
        <v>1175.93</v>
      </c>
      <c r="J1033">
        <v>705.55799999999999</v>
      </c>
      <c r="K1033">
        <v>10.99</v>
      </c>
      <c r="L1033">
        <v>1218</v>
      </c>
      <c r="M1033" t="s">
        <v>26</v>
      </c>
      <c r="N1033">
        <v>107</v>
      </c>
    </row>
    <row r="1034" spans="1:14" x14ac:dyDescent="0.3">
      <c r="A1034">
        <v>2012</v>
      </c>
      <c r="B1034" t="s">
        <v>1757</v>
      </c>
      <c r="C1034" t="s">
        <v>1758</v>
      </c>
      <c r="D1034" t="s">
        <v>22</v>
      </c>
      <c r="E1034" t="s">
        <v>23</v>
      </c>
      <c r="F1034">
        <v>3.88</v>
      </c>
      <c r="G1034">
        <v>34789</v>
      </c>
      <c r="H1034" t="s">
        <v>18</v>
      </c>
      <c r="I1034">
        <v>105.93</v>
      </c>
      <c r="J1034">
        <v>0</v>
      </c>
      <c r="K1034">
        <v>0.99</v>
      </c>
      <c r="L1034">
        <v>1218</v>
      </c>
      <c r="M1034" t="s">
        <v>26</v>
      </c>
      <c r="N1034">
        <v>107</v>
      </c>
    </row>
    <row r="1035" spans="1:14" x14ac:dyDescent="0.3">
      <c r="A1035">
        <v>1994</v>
      </c>
      <c r="B1035" t="s">
        <v>1759</v>
      </c>
      <c r="C1035" t="s">
        <v>113</v>
      </c>
      <c r="D1035" t="s">
        <v>22</v>
      </c>
      <c r="E1035" t="s">
        <v>23</v>
      </c>
      <c r="F1035">
        <v>3.76</v>
      </c>
      <c r="G1035">
        <v>57818</v>
      </c>
      <c r="H1035" t="s">
        <v>18</v>
      </c>
      <c r="I1035">
        <v>854.93</v>
      </c>
      <c r="J1035">
        <v>512.95799999999997</v>
      </c>
      <c r="K1035">
        <v>7.99</v>
      </c>
      <c r="L1035">
        <v>1219</v>
      </c>
      <c r="M1035" t="s">
        <v>45</v>
      </c>
      <c r="N1035">
        <v>107</v>
      </c>
    </row>
    <row r="1036" spans="1:14" x14ac:dyDescent="0.3">
      <c r="A1036">
        <v>2012</v>
      </c>
      <c r="B1036" t="s">
        <v>1760</v>
      </c>
      <c r="C1036" t="s">
        <v>1761</v>
      </c>
      <c r="D1036" t="s">
        <v>22</v>
      </c>
      <c r="E1036" t="s">
        <v>17</v>
      </c>
      <c r="F1036">
        <v>3.21</v>
      </c>
      <c r="G1036">
        <v>65906</v>
      </c>
      <c r="H1036" t="s">
        <v>18</v>
      </c>
      <c r="I1036">
        <v>426.93</v>
      </c>
      <c r="J1036">
        <v>256.15800000000002</v>
      </c>
      <c r="K1036">
        <v>3.99</v>
      </c>
      <c r="L1036">
        <v>1220</v>
      </c>
      <c r="M1036" t="s">
        <v>26</v>
      </c>
      <c r="N1036">
        <v>107</v>
      </c>
    </row>
    <row r="1037" spans="1:14" x14ac:dyDescent="0.3">
      <c r="A1037">
        <v>1911</v>
      </c>
      <c r="B1037" t="s">
        <v>1762</v>
      </c>
      <c r="C1037" t="s">
        <v>1763</v>
      </c>
      <c r="D1037" t="s">
        <v>22</v>
      </c>
      <c r="E1037" t="s">
        <v>17</v>
      </c>
      <c r="F1037">
        <v>3.35</v>
      </c>
      <c r="G1037">
        <v>72421</v>
      </c>
      <c r="H1037" t="s">
        <v>40</v>
      </c>
      <c r="I1037">
        <v>405.53</v>
      </c>
      <c r="J1037">
        <v>243.31800000000001</v>
      </c>
      <c r="K1037">
        <v>3.79</v>
      </c>
      <c r="L1037">
        <v>1222</v>
      </c>
      <c r="M1037" t="s">
        <v>19</v>
      </c>
      <c r="N1037">
        <v>107</v>
      </c>
    </row>
    <row r="1038" spans="1:14" x14ac:dyDescent="0.3">
      <c r="A1038">
        <v>1992</v>
      </c>
      <c r="B1038" t="s">
        <v>1764</v>
      </c>
      <c r="C1038" t="s">
        <v>1765</v>
      </c>
      <c r="D1038" t="s">
        <v>92</v>
      </c>
      <c r="E1038" t="s">
        <v>23</v>
      </c>
      <c r="F1038">
        <v>3.78</v>
      </c>
      <c r="G1038">
        <v>61347</v>
      </c>
      <c r="H1038" t="s">
        <v>18</v>
      </c>
      <c r="I1038">
        <v>324.20999999999998</v>
      </c>
      <c r="J1038">
        <v>194.52600000000001</v>
      </c>
      <c r="K1038">
        <v>3.03</v>
      </c>
      <c r="L1038">
        <v>1223</v>
      </c>
      <c r="M1038" t="s">
        <v>26</v>
      </c>
      <c r="N1038">
        <v>107</v>
      </c>
    </row>
    <row r="1039" spans="1:14" x14ac:dyDescent="0.3">
      <c r="A1039">
        <v>2016</v>
      </c>
      <c r="B1039" t="s">
        <v>1766</v>
      </c>
      <c r="C1039" t="s">
        <v>42</v>
      </c>
      <c r="D1039" t="s">
        <v>22</v>
      </c>
      <c r="E1039" t="s">
        <v>52</v>
      </c>
      <c r="F1039">
        <v>4.4400000000000004</v>
      </c>
      <c r="G1039">
        <v>80433</v>
      </c>
      <c r="H1039" t="s">
        <v>29</v>
      </c>
      <c r="I1039">
        <v>747.93</v>
      </c>
      <c r="J1039">
        <v>448.75799999999998</v>
      </c>
      <c r="K1039">
        <v>6.99</v>
      </c>
      <c r="L1039">
        <v>1223</v>
      </c>
      <c r="M1039" t="s">
        <v>33</v>
      </c>
      <c r="N1039">
        <v>107</v>
      </c>
    </row>
    <row r="1040" spans="1:14" x14ac:dyDescent="0.3">
      <c r="A1040">
        <v>1905</v>
      </c>
      <c r="B1040" t="s">
        <v>1767</v>
      </c>
      <c r="C1040" t="s">
        <v>1768</v>
      </c>
      <c r="D1040" t="s">
        <v>22</v>
      </c>
      <c r="E1040" t="s">
        <v>536</v>
      </c>
      <c r="F1040">
        <v>4.07</v>
      </c>
      <c r="G1040">
        <v>66537</v>
      </c>
      <c r="H1040" t="s">
        <v>40</v>
      </c>
      <c r="I1040">
        <v>951.23</v>
      </c>
      <c r="J1040">
        <v>570.73800000000006</v>
      </c>
      <c r="K1040">
        <v>8.89</v>
      </c>
      <c r="L1040">
        <v>1224</v>
      </c>
      <c r="M1040" t="s">
        <v>65</v>
      </c>
      <c r="N1040">
        <v>107</v>
      </c>
    </row>
    <row r="1041" spans="1:14" x14ac:dyDescent="0.3">
      <c r="A1041">
        <v>1968</v>
      </c>
      <c r="B1041" t="s">
        <v>1769</v>
      </c>
      <c r="C1041" t="s">
        <v>1770</v>
      </c>
      <c r="D1041" t="s">
        <v>16</v>
      </c>
      <c r="E1041" t="s">
        <v>23</v>
      </c>
      <c r="F1041">
        <v>3.92</v>
      </c>
      <c r="G1041">
        <v>54848</v>
      </c>
      <c r="H1041" t="s">
        <v>18</v>
      </c>
      <c r="I1041">
        <v>319.93</v>
      </c>
      <c r="J1041">
        <v>0</v>
      </c>
      <c r="K1041">
        <v>2.99</v>
      </c>
      <c r="L1041">
        <v>1225</v>
      </c>
      <c r="M1041" t="s">
        <v>26</v>
      </c>
      <c r="N1041">
        <v>107</v>
      </c>
    </row>
    <row r="1042" spans="1:14" x14ac:dyDescent="0.3">
      <c r="A1042">
        <v>1959</v>
      </c>
      <c r="B1042" t="s">
        <v>1771</v>
      </c>
      <c r="C1042" t="s">
        <v>1772</v>
      </c>
      <c r="D1042" t="s">
        <v>16</v>
      </c>
      <c r="E1042" t="s">
        <v>17</v>
      </c>
      <c r="F1042">
        <v>3.46</v>
      </c>
      <c r="G1042">
        <v>55473</v>
      </c>
      <c r="H1042" t="s">
        <v>18</v>
      </c>
      <c r="I1042">
        <v>529.65</v>
      </c>
      <c r="J1042">
        <v>317.79000000000002</v>
      </c>
      <c r="K1042">
        <v>4.95</v>
      </c>
      <c r="L1042">
        <v>1226</v>
      </c>
      <c r="M1042" t="s">
        <v>26</v>
      </c>
      <c r="N1042">
        <v>107</v>
      </c>
    </row>
    <row r="1043" spans="1:14" x14ac:dyDescent="0.3">
      <c r="A1043">
        <v>1991</v>
      </c>
      <c r="B1043" t="s">
        <v>1773</v>
      </c>
      <c r="C1043" t="s">
        <v>1774</v>
      </c>
      <c r="D1043" t="s">
        <v>22</v>
      </c>
      <c r="E1043" t="s">
        <v>536</v>
      </c>
      <c r="F1043">
        <v>4.28</v>
      </c>
      <c r="G1043">
        <v>67753</v>
      </c>
      <c r="H1043" t="s">
        <v>18</v>
      </c>
      <c r="I1043">
        <v>426.93</v>
      </c>
      <c r="J1043">
        <v>0</v>
      </c>
      <c r="K1043">
        <v>3.99</v>
      </c>
      <c r="L1043">
        <v>1230</v>
      </c>
      <c r="M1043" t="s">
        <v>26</v>
      </c>
      <c r="N1043">
        <v>107</v>
      </c>
    </row>
    <row r="1044" spans="1:14" x14ac:dyDescent="0.3">
      <c r="A1044">
        <v>2001</v>
      </c>
      <c r="B1044" t="s">
        <v>1775</v>
      </c>
      <c r="C1044" t="s">
        <v>158</v>
      </c>
      <c r="D1044" t="s">
        <v>22</v>
      </c>
      <c r="E1044" t="s">
        <v>23</v>
      </c>
      <c r="F1044">
        <v>3.67</v>
      </c>
      <c r="G1044">
        <v>59974</v>
      </c>
      <c r="H1044" t="s">
        <v>40</v>
      </c>
      <c r="I1044">
        <v>105.93</v>
      </c>
      <c r="J1044">
        <v>0</v>
      </c>
      <c r="K1044">
        <v>0.99</v>
      </c>
      <c r="L1044">
        <v>1232</v>
      </c>
      <c r="M1044" t="s">
        <v>26</v>
      </c>
      <c r="N1044">
        <v>107</v>
      </c>
    </row>
    <row r="1045" spans="1:14" x14ac:dyDescent="0.3">
      <c r="A1045">
        <v>1969</v>
      </c>
      <c r="B1045" t="s">
        <v>1776</v>
      </c>
      <c r="C1045" t="s">
        <v>1777</v>
      </c>
      <c r="D1045" t="s">
        <v>22</v>
      </c>
      <c r="E1045" t="s">
        <v>536</v>
      </c>
      <c r="F1045">
        <v>4.05</v>
      </c>
      <c r="G1045">
        <v>61888</v>
      </c>
      <c r="H1045" t="s">
        <v>18</v>
      </c>
      <c r="I1045">
        <v>822.83</v>
      </c>
      <c r="J1045">
        <v>493.69799999999998</v>
      </c>
      <c r="K1045">
        <v>7.69</v>
      </c>
      <c r="L1045">
        <v>1233</v>
      </c>
      <c r="M1045" t="s">
        <v>45</v>
      </c>
      <c r="N1045">
        <v>107</v>
      </c>
    </row>
    <row r="1046" spans="1:14" x14ac:dyDescent="0.3">
      <c r="A1046">
        <v>2008</v>
      </c>
      <c r="B1046" t="s">
        <v>1778</v>
      </c>
      <c r="C1046" t="s">
        <v>1779</v>
      </c>
      <c r="D1046" t="s">
        <v>22</v>
      </c>
      <c r="E1046" t="s">
        <v>23</v>
      </c>
      <c r="F1046">
        <v>3.84</v>
      </c>
      <c r="G1046">
        <v>57632</v>
      </c>
      <c r="H1046" t="s">
        <v>29</v>
      </c>
      <c r="I1046">
        <v>1149.18</v>
      </c>
      <c r="J1046">
        <v>689.50800000000004</v>
      </c>
      <c r="K1046">
        <v>10.74</v>
      </c>
      <c r="L1046">
        <v>1235</v>
      </c>
      <c r="M1046" t="s">
        <v>33</v>
      </c>
      <c r="N1046">
        <v>107</v>
      </c>
    </row>
    <row r="1047" spans="1:14" x14ac:dyDescent="0.3">
      <c r="A1047">
        <v>2010</v>
      </c>
      <c r="B1047" t="s">
        <v>1780</v>
      </c>
      <c r="C1047" t="s">
        <v>73</v>
      </c>
      <c r="D1047" t="s">
        <v>16</v>
      </c>
      <c r="E1047" t="s">
        <v>536</v>
      </c>
      <c r="F1047">
        <v>4.03</v>
      </c>
      <c r="G1047">
        <v>60672</v>
      </c>
      <c r="H1047" t="s">
        <v>18</v>
      </c>
      <c r="I1047">
        <v>640.92999999999995</v>
      </c>
      <c r="J1047">
        <v>384.55799999999999</v>
      </c>
      <c r="K1047">
        <v>5.99</v>
      </c>
      <c r="L1047">
        <v>1236</v>
      </c>
      <c r="M1047" t="s">
        <v>45</v>
      </c>
      <c r="N1047">
        <v>107</v>
      </c>
    </row>
    <row r="1048" spans="1:14" x14ac:dyDescent="0.3">
      <c r="A1048">
        <v>2014</v>
      </c>
      <c r="B1048" t="s">
        <v>1781</v>
      </c>
      <c r="C1048" t="s">
        <v>1782</v>
      </c>
      <c r="D1048" t="s">
        <v>22</v>
      </c>
      <c r="E1048" t="s">
        <v>52</v>
      </c>
      <c r="F1048">
        <v>4.4000000000000004</v>
      </c>
      <c r="G1048">
        <v>56510</v>
      </c>
      <c r="H1048" t="s">
        <v>18</v>
      </c>
      <c r="I1048">
        <v>319.93</v>
      </c>
      <c r="J1048">
        <v>0</v>
      </c>
      <c r="K1048">
        <v>2.99</v>
      </c>
      <c r="L1048">
        <v>1237</v>
      </c>
      <c r="M1048" t="s">
        <v>26</v>
      </c>
      <c r="N1048">
        <v>107</v>
      </c>
    </row>
    <row r="1049" spans="1:14" x14ac:dyDescent="0.3">
      <c r="A1049">
        <v>1987</v>
      </c>
      <c r="B1049" t="s">
        <v>1783</v>
      </c>
      <c r="C1049" t="s">
        <v>515</v>
      </c>
      <c r="D1049" t="s">
        <v>22</v>
      </c>
      <c r="E1049" t="s">
        <v>536</v>
      </c>
      <c r="F1049">
        <v>4.04</v>
      </c>
      <c r="G1049">
        <v>58062</v>
      </c>
      <c r="H1049" t="s">
        <v>18</v>
      </c>
      <c r="I1049">
        <v>104.94</v>
      </c>
      <c r="J1049">
        <v>0</v>
      </c>
      <c r="K1049">
        <v>0.99</v>
      </c>
      <c r="L1049">
        <v>1238</v>
      </c>
      <c r="M1049" t="s">
        <v>26</v>
      </c>
      <c r="N1049">
        <v>106</v>
      </c>
    </row>
    <row r="1050" spans="1:14" x14ac:dyDescent="0.3">
      <c r="A1050">
        <v>2010</v>
      </c>
      <c r="B1050" t="s">
        <v>1784</v>
      </c>
      <c r="C1050" t="s">
        <v>175</v>
      </c>
      <c r="D1050" t="s">
        <v>16</v>
      </c>
      <c r="E1050" t="s">
        <v>23</v>
      </c>
      <c r="F1050">
        <v>3.81</v>
      </c>
      <c r="G1050">
        <v>55355</v>
      </c>
      <c r="H1050" t="s">
        <v>612</v>
      </c>
      <c r="I1050">
        <v>477</v>
      </c>
      <c r="J1050">
        <v>286.2</v>
      </c>
      <c r="K1050">
        <v>4.5</v>
      </c>
      <c r="L1050">
        <v>1241</v>
      </c>
      <c r="M1050" t="s">
        <v>26</v>
      </c>
      <c r="N1050">
        <v>106</v>
      </c>
    </row>
    <row r="1051" spans="1:14" x14ac:dyDescent="0.3">
      <c r="A1051">
        <v>1879</v>
      </c>
      <c r="B1051" t="s">
        <v>1785</v>
      </c>
      <c r="C1051" t="s">
        <v>1786</v>
      </c>
      <c r="D1051" t="s">
        <v>22</v>
      </c>
      <c r="E1051" t="s">
        <v>23</v>
      </c>
      <c r="F1051">
        <v>3.69</v>
      </c>
      <c r="G1051">
        <v>69450</v>
      </c>
      <c r="H1051" t="s">
        <v>18</v>
      </c>
      <c r="I1051">
        <v>1588.94</v>
      </c>
      <c r="J1051">
        <v>953.36400000000003</v>
      </c>
      <c r="K1051">
        <v>14.99</v>
      </c>
      <c r="L1051">
        <v>1243</v>
      </c>
      <c r="M1051" t="s">
        <v>30</v>
      </c>
      <c r="N1051">
        <v>106</v>
      </c>
    </row>
    <row r="1052" spans="1:14" x14ac:dyDescent="0.3">
      <c r="A1052">
        <v>1959</v>
      </c>
      <c r="B1052" t="s">
        <v>1787</v>
      </c>
      <c r="C1052" t="s">
        <v>1788</v>
      </c>
      <c r="D1052" t="s">
        <v>92</v>
      </c>
      <c r="E1052" t="s">
        <v>536</v>
      </c>
      <c r="F1052">
        <v>4.18</v>
      </c>
      <c r="G1052">
        <v>59963</v>
      </c>
      <c r="H1052" t="s">
        <v>18</v>
      </c>
      <c r="I1052">
        <v>212</v>
      </c>
      <c r="J1052">
        <v>0</v>
      </c>
      <c r="K1052">
        <v>2</v>
      </c>
      <c r="L1052">
        <v>1243</v>
      </c>
      <c r="M1052" t="s">
        <v>26</v>
      </c>
      <c r="N1052">
        <v>106</v>
      </c>
    </row>
    <row r="1053" spans="1:14" x14ac:dyDescent="0.3">
      <c r="A1053">
        <v>1961</v>
      </c>
      <c r="B1053" t="s">
        <v>1789</v>
      </c>
      <c r="C1053" t="s">
        <v>1790</v>
      </c>
      <c r="D1053" t="s">
        <v>22</v>
      </c>
      <c r="E1053" t="s">
        <v>23</v>
      </c>
      <c r="F1053">
        <v>3.89</v>
      </c>
      <c r="G1053">
        <v>56550</v>
      </c>
      <c r="H1053" t="s">
        <v>18</v>
      </c>
      <c r="I1053">
        <v>735.64</v>
      </c>
      <c r="J1053">
        <v>441.38400000000001</v>
      </c>
      <c r="K1053">
        <v>6.94</v>
      </c>
      <c r="L1053">
        <v>1244</v>
      </c>
      <c r="M1053" t="s">
        <v>33</v>
      </c>
      <c r="N1053">
        <v>106</v>
      </c>
    </row>
    <row r="1054" spans="1:14" x14ac:dyDescent="0.3">
      <c r="A1054">
        <v>2006</v>
      </c>
      <c r="B1054" t="s">
        <v>1791</v>
      </c>
      <c r="C1054" t="s">
        <v>1792</v>
      </c>
      <c r="D1054" t="s">
        <v>16</v>
      </c>
      <c r="E1054" t="s">
        <v>23</v>
      </c>
      <c r="F1054">
        <v>3.73</v>
      </c>
      <c r="G1054">
        <v>60372</v>
      </c>
      <c r="H1054" t="s">
        <v>18</v>
      </c>
      <c r="I1054">
        <v>846.94</v>
      </c>
      <c r="J1054">
        <v>508.16399999999999</v>
      </c>
      <c r="K1054">
        <v>7.99</v>
      </c>
      <c r="L1054">
        <v>1247</v>
      </c>
      <c r="M1054" t="s">
        <v>45</v>
      </c>
      <c r="N1054">
        <v>106</v>
      </c>
    </row>
    <row r="1055" spans="1:14" x14ac:dyDescent="0.3">
      <c r="A1055">
        <v>1966</v>
      </c>
      <c r="B1055" t="s">
        <v>1793</v>
      </c>
      <c r="C1055" t="s">
        <v>1794</v>
      </c>
      <c r="D1055" t="s">
        <v>22</v>
      </c>
      <c r="E1055" t="s">
        <v>536</v>
      </c>
      <c r="F1055">
        <v>4.0599999999999996</v>
      </c>
      <c r="G1055">
        <v>67077</v>
      </c>
      <c r="H1055" t="s">
        <v>40</v>
      </c>
      <c r="I1055">
        <v>1334.54</v>
      </c>
      <c r="J1055">
        <v>800.72400000000005</v>
      </c>
      <c r="K1055">
        <v>12.59</v>
      </c>
      <c r="L1055">
        <v>1248</v>
      </c>
      <c r="M1055" t="s">
        <v>45</v>
      </c>
      <c r="N1055">
        <v>106</v>
      </c>
    </row>
    <row r="1056" spans="1:14" x14ac:dyDescent="0.3">
      <c r="A1056">
        <v>2011</v>
      </c>
      <c r="B1056" t="s">
        <v>1795</v>
      </c>
      <c r="C1056" t="s">
        <v>750</v>
      </c>
      <c r="D1056" t="s">
        <v>22</v>
      </c>
      <c r="E1056" t="s">
        <v>23</v>
      </c>
      <c r="F1056">
        <v>3.91</v>
      </c>
      <c r="G1056">
        <v>85034</v>
      </c>
      <c r="H1056" t="s">
        <v>18</v>
      </c>
      <c r="I1056">
        <v>827.86</v>
      </c>
      <c r="J1056">
        <v>496.71600000000001</v>
      </c>
      <c r="K1056">
        <v>7.81</v>
      </c>
      <c r="L1056">
        <v>1249</v>
      </c>
      <c r="M1056" t="s">
        <v>33</v>
      </c>
      <c r="N1056">
        <v>106</v>
      </c>
    </row>
    <row r="1057" spans="1:14" x14ac:dyDescent="0.3">
      <c r="A1057">
        <v>1996</v>
      </c>
      <c r="B1057" t="s">
        <v>1796</v>
      </c>
      <c r="C1057" t="s">
        <v>1797</v>
      </c>
      <c r="D1057" t="s">
        <v>22</v>
      </c>
      <c r="E1057" t="s">
        <v>23</v>
      </c>
      <c r="F1057">
        <v>3.91</v>
      </c>
      <c r="G1057">
        <v>52333</v>
      </c>
      <c r="H1057" t="s">
        <v>29</v>
      </c>
      <c r="I1057">
        <v>589.36</v>
      </c>
      <c r="J1057">
        <v>353.61599999999999</v>
      </c>
      <c r="K1057">
        <v>5.56</v>
      </c>
      <c r="L1057">
        <v>1251</v>
      </c>
      <c r="M1057" t="s">
        <v>30</v>
      </c>
      <c r="N1057">
        <v>106</v>
      </c>
    </row>
    <row r="1058" spans="1:14" x14ac:dyDescent="0.3">
      <c r="A1058">
        <v>2010</v>
      </c>
      <c r="B1058" t="s">
        <v>1798</v>
      </c>
      <c r="C1058" t="s">
        <v>1799</v>
      </c>
      <c r="D1058" t="s">
        <v>22</v>
      </c>
      <c r="E1058" t="s">
        <v>23</v>
      </c>
      <c r="F1058">
        <v>3.92</v>
      </c>
      <c r="G1058">
        <v>54341</v>
      </c>
      <c r="H1058" t="s">
        <v>18</v>
      </c>
      <c r="I1058">
        <v>316.94</v>
      </c>
      <c r="J1058">
        <v>0</v>
      </c>
      <c r="K1058">
        <v>2.99</v>
      </c>
      <c r="L1058">
        <v>1253</v>
      </c>
      <c r="M1058" t="s">
        <v>26</v>
      </c>
      <c r="N1058">
        <v>106</v>
      </c>
    </row>
    <row r="1059" spans="1:14" x14ac:dyDescent="0.3">
      <c r="A1059">
        <v>2012</v>
      </c>
      <c r="B1059" t="s">
        <v>1800</v>
      </c>
      <c r="C1059" t="s">
        <v>82</v>
      </c>
      <c r="D1059" t="s">
        <v>22</v>
      </c>
      <c r="E1059" t="s">
        <v>23</v>
      </c>
      <c r="F1059">
        <v>3.65</v>
      </c>
      <c r="G1059">
        <v>65932</v>
      </c>
      <c r="H1059" t="s">
        <v>40</v>
      </c>
      <c r="I1059">
        <v>1058.94</v>
      </c>
      <c r="J1059">
        <v>635.36400000000003</v>
      </c>
      <c r="K1059">
        <v>9.99</v>
      </c>
      <c r="L1059">
        <v>1255</v>
      </c>
      <c r="M1059" t="s">
        <v>26</v>
      </c>
      <c r="N1059">
        <v>106</v>
      </c>
    </row>
    <row r="1060" spans="1:14" x14ac:dyDescent="0.3">
      <c r="A1060">
        <v>2002</v>
      </c>
      <c r="B1060" t="s">
        <v>1801</v>
      </c>
      <c r="C1060" t="s">
        <v>73</v>
      </c>
      <c r="D1060" t="s">
        <v>22</v>
      </c>
      <c r="E1060" t="s">
        <v>23</v>
      </c>
      <c r="F1060">
        <v>3.94</v>
      </c>
      <c r="G1060">
        <v>60932</v>
      </c>
      <c r="H1060" t="s">
        <v>29</v>
      </c>
      <c r="I1060">
        <v>316.94</v>
      </c>
      <c r="J1060">
        <v>190.16399999999999</v>
      </c>
      <c r="K1060">
        <v>2.99</v>
      </c>
      <c r="L1060">
        <v>1255</v>
      </c>
      <c r="M1060" t="s">
        <v>26</v>
      </c>
      <c r="N1060">
        <v>106</v>
      </c>
    </row>
    <row r="1061" spans="1:14" x14ac:dyDescent="0.3">
      <c r="A1061">
        <v>1955</v>
      </c>
      <c r="B1061" t="s">
        <v>1802</v>
      </c>
      <c r="C1061" t="s">
        <v>1803</v>
      </c>
      <c r="D1061" t="s">
        <v>22</v>
      </c>
      <c r="E1061" t="s">
        <v>23</v>
      </c>
      <c r="F1061">
        <v>3.97</v>
      </c>
      <c r="G1061">
        <v>75987</v>
      </c>
      <c r="H1061" t="s">
        <v>18</v>
      </c>
      <c r="I1061">
        <v>740.94</v>
      </c>
      <c r="J1061">
        <v>444.56400000000002</v>
      </c>
      <c r="K1061">
        <v>6.99</v>
      </c>
      <c r="L1061">
        <v>1257</v>
      </c>
      <c r="M1061" t="s">
        <v>45</v>
      </c>
      <c r="N1061">
        <v>106</v>
      </c>
    </row>
    <row r="1062" spans="1:14" x14ac:dyDescent="0.3">
      <c r="A1062">
        <v>1972</v>
      </c>
      <c r="B1062" t="s">
        <v>1804</v>
      </c>
      <c r="C1062" t="s">
        <v>152</v>
      </c>
      <c r="D1062" t="s">
        <v>22</v>
      </c>
      <c r="E1062" t="s">
        <v>536</v>
      </c>
      <c r="F1062">
        <v>4.1100000000000003</v>
      </c>
      <c r="G1062">
        <v>65626</v>
      </c>
      <c r="H1062" t="s">
        <v>40</v>
      </c>
      <c r="I1062">
        <v>210.94</v>
      </c>
      <c r="J1062">
        <v>0</v>
      </c>
      <c r="K1062">
        <v>1.99</v>
      </c>
      <c r="L1062">
        <v>1258</v>
      </c>
      <c r="M1062" t="s">
        <v>26</v>
      </c>
      <c r="N1062">
        <v>106</v>
      </c>
    </row>
    <row r="1063" spans="1:14" x14ac:dyDescent="0.3">
      <c r="A1063">
        <v>1996</v>
      </c>
      <c r="B1063" t="s">
        <v>1805</v>
      </c>
      <c r="C1063" t="s">
        <v>113</v>
      </c>
      <c r="D1063" t="s">
        <v>22</v>
      </c>
      <c r="E1063" t="s">
        <v>23</v>
      </c>
      <c r="F1063">
        <v>3.66</v>
      </c>
      <c r="G1063">
        <v>59229</v>
      </c>
      <c r="H1063" t="s">
        <v>18</v>
      </c>
      <c r="I1063">
        <v>104.94</v>
      </c>
      <c r="J1063">
        <v>0</v>
      </c>
      <c r="K1063">
        <v>0.99</v>
      </c>
      <c r="L1063">
        <v>1263</v>
      </c>
      <c r="M1063" t="s">
        <v>26</v>
      </c>
      <c r="N1063">
        <v>106</v>
      </c>
    </row>
    <row r="1064" spans="1:14" x14ac:dyDescent="0.3">
      <c r="A1064">
        <v>1982</v>
      </c>
      <c r="B1064" t="s">
        <v>1806</v>
      </c>
      <c r="C1064" t="s">
        <v>1807</v>
      </c>
      <c r="D1064" t="s">
        <v>16</v>
      </c>
      <c r="E1064" t="s">
        <v>536</v>
      </c>
      <c r="F1064">
        <v>4.17</v>
      </c>
      <c r="G1064">
        <v>62432</v>
      </c>
      <c r="H1064" t="s">
        <v>18</v>
      </c>
      <c r="I1064">
        <v>815.14</v>
      </c>
      <c r="J1064">
        <v>489.084</v>
      </c>
      <c r="K1064">
        <v>7.69</v>
      </c>
      <c r="L1064">
        <v>1265</v>
      </c>
      <c r="M1064" t="s">
        <v>45</v>
      </c>
      <c r="N1064">
        <v>106</v>
      </c>
    </row>
    <row r="1065" spans="1:14" x14ac:dyDescent="0.3">
      <c r="A1065">
        <v>2004</v>
      </c>
      <c r="B1065" t="s">
        <v>1808</v>
      </c>
      <c r="C1065" t="s">
        <v>1809</v>
      </c>
      <c r="D1065" t="s">
        <v>22</v>
      </c>
      <c r="E1065" t="s">
        <v>23</v>
      </c>
      <c r="F1065">
        <v>3.95</v>
      </c>
      <c r="G1065">
        <v>70737</v>
      </c>
      <c r="H1065" t="s">
        <v>18</v>
      </c>
      <c r="I1065">
        <v>846.94</v>
      </c>
      <c r="J1065">
        <v>508.16399999999999</v>
      </c>
      <c r="K1065">
        <v>7.99</v>
      </c>
      <c r="L1065">
        <v>1266</v>
      </c>
      <c r="M1065" t="s">
        <v>45</v>
      </c>
      <c r="N1065">
        <v>106</v>
      </c>
    </row>
    <row r="1066" spans="1:14" x14ac:dyDescent="0.3">
      <c r="A1066">
        <v>1994</v>
      </c>
      <c r="B1066" t="s">
        <v>1810</v>
      </c>
      <c r="C1066" t="s">
        <v>1811</v>
      </c>
      <c r="D1066" t="s">
        <v>22</v>
      </c>
      <c r="E1066" t="s">
        <v>536</v>
      </c>
      <c r="F1066">
        <v>4.3099999999999996</v>
      </c>
      <c r="G1066">
        <v>43927</v>
      </c>
      <c r="H1066" t="s">
        <v>18</v>
      </c>
      <c r="I1066">
        <v>316.94</v>
      </c>
      <c r="J1066">
        <v>0</v>
      </c>
      <c r="K1066">
        <v>2.99</v>
      </c>
      <c r="L1066">
        <v>1266</v>
      </c>
      <c r="M1066" t="s">
        <v>26</v>
      </c>
      <c r="N1066">
        <v>106</v>
      </c>
    </row>
    <row r="1067" spans="1:14" x14ac:dyDescent="0.3">
      <c r="A1067">
        <v>2014</v>
      </c>
      <c r="B1067" t="s">
        <v>1812</v>
      </c>
      <c r="C1067" t="s">
        <v>158</v>
      </c>
      <c r="D1067" t="s">
        <v>22</v>
      </c>
      <c r="E1067" t="s">
        <v>23</v>
      </c>
      <c r="F1067">
        <v>3.52</v>
      </c>
      <c r="G1067">
        <v>37379</v>
      </c>
      <c r="H1067" t="s">
        <v>40</v>
      </c>
      <c r="I1067">
        <v>104.94</v>
      </c>
      <c r="J1067">
        <v>62.963999999999999</v>
      </c>
      <c r="K1067">
        <v>0.99</v>
      </c>
      <c r="L1067">
        <v>1268</v>
      </c>
      <c r="M1067" t="s">
        <v>26</v>
      </c>
      <c r="N1067">
        <v>106</v>
      </c>
    </row>
    <row r="1068" spans="1:14" x14ac:dyDescent="0.3">
      <c r="A1068">
        <v>1989</v>
      </c>
      <c r="B1068" t="s">
        <v>1813</v>
      </c>
      <c r="C1068" t="s">
        <v>1814</v>
      </c>
      <c r="D1068" t="s">
        <v>22</v>
      </c>
      <c r="E1068" t="s">
        <v>536</v>
      </c>
      <c r="F1068">
        <v>4.34</v>
      </c>
      <c r="G1068">
        <v>57312</v>
      </c>
      <c r="H1068" t="s">
        <v>18</v>
      </c>
      <c r="I1068">
        <v>846.94</v>
      </c>
      <c r="J1068">
        <v>508.16399999999999</v>
      </c>
      <c r="K1068">
        <v>7.99</v>
      </c>
      <c r="L1068">
        <v>1270</v>
      </c>
      <c r="M1068" t="s">
        <v>45</v>
      </c>
      <c r="N1068">
        <v>106</v>
      </c>
    </row>
    <row r="1069" spans="1:14" x14ac:dyDescent="0.3">
      <c r="A1069">
        <v>1930</v>
      </c>
      <c r="B1069" t="s">
        <v>1815</v>
      </c>
      <c r="C1069" t="s">
        <v>1816</v>
      </c>
      <c r="D1069" t="s">
        <v>22</v>
      </c>
      <c r="E1069" t="s">
        <v>23</v>
      </c>
      <c r="F1069">
        <v>3.92</v>
      </c>
      <c r="G1069">
        <v>58742</v>
      </c>
      <c r="H1069" t="s">
        <v>18</v>
      </c>
      <c r="I1069">
        <v>846.94</v>
      </c>
      <c r="J1069">
        <v>508.16399999999999</v>
      </c>
      <c r="K1069">
        <v>7.99</v>
      </c>
      <c r="L1069">
        <v>1271</v>
      </c>
      <c r="M1069" t="s">
        <v>30</v>
      </c>
      <c r="N1069">
        <v>106</v>
      </c>
    </row>
    <row r="1070" spans="1:14" x14ac:dyDescent="0.3">
      <c r="A1070">
        <v>2011</v>
      </c>
      <c r="B1070" t="s">
        <v>1817</v>
      </c>
      <c r="C1070" t="s">
        <v>326</v>
      </c>
      <c r="D1070" t="s">
        <v>16</v>
      </c>
      <c r="E1070" t="s">
        <v>536</v>
      </c>
      <c r="F1070">
        <v>4.17</v>
      </c>
      <c r="G1070">
        <v>58028</v>
      </c>
      <c r="H1070" t="s">
        <v>18</v>
      </c>
      <c r="I1070">
        <v>104.94</v>
      </c>
      <c r="J1070">
        <v>62.963999999999999</v>
      </c>
      <c r="K1070">
        <v>0.99</v>
      </c>
      <c r="L1070">
        <v>1272</v>
      </c>
      <c r="M1070" t="s">
        <v>26</v>
      </c>
      <c r="N1070">
        <v>106</v>
      </c>
    </row>
    <row r="1071" spans="1:14" x14ac:dyDescent="0.3">
      <c r="A1071">
        <v>1999</v>
      </c>
      <c r="B1071" t="s">
        <v>1818</v>
      </c>
      <c r="C1071" t="s">
        <v>1447</v>
      </c>
      <c r="D1071" t="s">
        <v>22</v>
      </c>
      <c r="E1071" t="s">
        <v>536</v>
      </c>
      <c r="F1071">
        <v>4.07</v>
      </c>
      <c r="G1071">
        <v>55251</v>
      </c>
      <c r="H1071" t="s">
        <v>18</v>
      </c>
      <c r="I1071">
        <v>316.94</v>
      </c>
      <c r="J1071">
        <v>0</v>
      </c>
      <c r="K1071">
        <v>2.99</v>
      </c>
      <c r="L1071">
        <v>1273</v>
      </c>
      <c r="M1071" t="s">
        <v>26</v>
      </c>
      <c r="N1071">
        <v>106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842C-440F-4EDB-9C02-E89691BCD9FD}">
  <dimension ref="B14:L17"/>
  <sheetViews>
    <sheetView showGridLines="0" tabSelected="1" zoomScale="90" zoomScaleNormal="90" workbookViewId="0">
      <selection activeCell="Z10" sqref="Z10"/>
    </sheetView>
  </sheetViews>
  <sheetFormatPr defaultRowHeight="14.4" x14ac:dyDescent="0.3"/>
  <sheetData>
    <row r="14" spans="2:12" ht="21" x14ac:dyDescent="0.4">
      <c r="B14" s="9" t="s">
        <v>1825</v>
      </c>
      <c r="C14" s="10"/>
      <c r="D14" s="11"/>
      <c r="F14" s="9" t="s">
        <v>1826</v>
      </c>
      <c r="G14" s="10"/>
      <c r="H14" s="11"/>
      <c r="J14" s="9" t="s">
        <v>1827</v>
      </c>
      <c r="K14" s="10"/>
      <c r="L14" s="11"/>
    </row>
    <row r="15" spans="2:12" x14ac:dyDescent="0.3">
      <c r="B15" s="3"/>
      <c r="C15" s="4"/>
      <c r="D15" s="5"/>
      <c r="F15" s="3"/>
      <c r="G15" s="4"/>
      <c r="H15" s="5"/>
      <c r="J15" s="3"/>
      <c r="K15" s="4"/>
      <c r="L15" s="5"/>
    </row>
    <row r="16" spans="2:12" x14ac:dyDescent="0.3">
      <c r="B16" s="3"/>
      <c r="C16" s="4"/>
      <c r="D16" s="5"/>
      <c r="F16" s="3"/>
      <c r="G16" s="4"/>
      <c r="H16" s="5"/>
      <c r="J16" s="3"/>
      <c r="K16" s="4"/>
      <c r="L16" s="5"/>
    </row>
    <row r="17" spans="2:12" x14ac:dyDescent="0.3">
      <c r="B17" s="6"/>
      <c r="C17" s="7"/>
      <c r="D17" s="8"/>
      <c r="F17" s="6"/>
      <c r="G17" s="7"/>
      <c r="H17" s="8"/>
      <c r="J17" s="6"/>
      <c r="K17" s="7"/>
      <c r="L17" s="8"/>
    </row>
  </sheetData>
  <mergeCells count="3">
    <mergeCell ref="B14:D14"/>
    <mergeCell ref="F14:H14"/>
    <mergeCell ref="J14:L1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242D2-415E-40EE-97F7-AD53587A00F9}">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F420B-727C-4BB4-938F-E506E98097A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198702-279A-4D33-BEAE-18661748FC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Calculations</vt:lpstr>
      <vt:lpstr>SalesData</vt:lpstr>
      <vt:lpstr>Dashboard</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Jithin lal</dc:creator>
  <cp:lastModifiedBy>Jithin lal</cp:lastModifiedBy>
  <dcterms:created xsi:type="dcterms:W3CDTF">2026-06-15T21:08:32Z</dcterms:created>
  <dcterms:modified xsi:type="dcterms:W3CDTF">2026-06-16T05:03:34Z</dcterms:modified>
</cp:coreProperties>
</file>